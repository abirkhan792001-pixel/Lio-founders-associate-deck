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vents Master" sheetId="2" state="visible" r:id="rId2"/>
    <sheet name="Event Categorization" sheetId="3" state="visible" r:id="rId3"/>
    <sheet name="Company Firmographics" sheetId="4" state="visible" r:id="rId4"/>
    <sheet name="ICP Analysis" sheetId="5" state="visible" r:id="rId5"/>
  </sheets>
  <definedNames>
    <definedName name="_xlnm._FilterDatabase" localSheetId="1" hidden="1">'Events Master'!$A$1:$X$49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3"/>
    </font>
    <font>
      <name val="Arial"/>
      <i val="1"/>
      <sz val="9"/>
    </font>
    <font>
      <name val="Arial"/>
      <b val="1"/>
      <sz val="11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2" fillId="0" borderId="1" pivotButton="0" quotePrefix="0" xfId="0"/>
    <xf numFmtId="0" fontId="7" fillId="0" borderId="0" pivotButton="0" quotePrefix="0" xfId="0"/>
    <xf numFmtId="0" fontId="6" fillId="0" borderId="0" applyAlignment="1" pivotButton="0" quotePrefix="0" xfId="0">
      <alignment wrapText="1"/>
    </xf>
    <xf numFmtId="0" fontId="2" fillId="5" borderId="0" pivotButton="0" quotePrefix="0" xfId="0"/>
    <xf numFmtId="0" fontId="8" fillId="2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1" t="inlineStr">
        <is>
          <t>Lio (formerly askLio) — Event Participation &amp; ICP Analysis</t>
        </is>
      </c>
    </row>
    <row r="2">
      <c r="A2" s="2" t="inlineStr"/>
      <c r="B2" s="3" t="n"/>
    </row>
    <row r="3">
      <c r="A3" s="2" t="inlineStr">
        <is>
          <t>Compiled</t>
        </is>
      </c>
      <c r="B3" s="3" t="inlineStr">
        <is>
          <t>2026-07-20 · corrected 2026-08-31</t>
        </is>
      </c>
    </row>
    <row r="4">
      <c r="A4" s="2" t="inlineStr">
        <is>
          <t>Method</t>
        </is>
      </c>
      <c r="B4" s="3" t="inlineStr">
        <is>
          <t>Web research across lio.ai (events page, event landing pages, newsroom), Livestorm, organizer sites (DPW, BME, WBR/ProcureCon, SSON, Procurement Leaders, Handelsblatt, KonnectHouse, Procurement Summit), press, LinkedIn recaps, YC/BMWK/VivaTech records. Every row carries its source URL.</t>
        </is>
      </c>
    </row>
    <row r="5">
      <c r="A5" s="2" t="inlineStr">
        <is>
          <t>Tabs</t>
        </is>
      </c>
      <c r="B5" s="3" t="inlineStr">
        <is>
          <t>Events Master (all 49 events/appearances) · Event Categorization (counts &amp; funnel logic — formulas live off Events Master) · Company Firmographics (verified table + directional block) · ICP Analysis (pattern synthesis)</t>
        </is>
      </c>
    </row>
    <row r="6">
      <c r="A6" s="2" t="inlineStr"/>
      <c r="B6" s="3" t="n"/>
    </row>
    <row r="7">
      <c r="A7" s="4" t="inlineStr">
        <is>
          <t>Confidence legend (Events Master, col Q)</t>
        </is>
      </c>
      <c r="B7" s="3" t="n"/>
    </row>
    <row r="8">
      <c r="A8" s="2" t="inlineStr">
        <is>
          <t>Confirmed</t>
        </is>
      </c>
      <c r="B8" s="3" t="inlineStr">
        <is>
          <t>Independently verified on organizer/press side or on a Lio property with specifics</t>
        </is>
      </c>
    </row>
    <row r="9">
      <c r="A9" s="2" t="inlineStr">
        <is>
          <t>Intent</t>
        </is>
      </c>
      <c r="B9" s="3" t="inlineStr">
        <is>
          <t>Listed on lio.ai/events calendar only — organizer-side confirmation not retrievable</t>
        </is>
      </c>
    </row>
    <row r="10">
      <c r="A10" s="2" t="inlineStr">
        <is>
          <t>Unconfirmed</t>
        </is>
      </c>
      <c r="B10" s="3" t="inlineStr">
        <is>
          <t>Plausible but no solid source</t>
        </is>
      </c>
    </row>
    <row r="11">
      <c r="A11" s="2" t="inlineStr"/>
      <c r="B11" s="3" t="n"/>
    </row>
    <row r="12">
      <c r="A12" s="4" t="inlineStr">
        <is>
          <t>Key caveats</t>
        </is>
      </c>
      <c r="B12" s="3" t="n"/>
    </row>
    <row r="13">
      <c r="A13" s="2" t="inlineStr">
        <is>
          <t>1</t>
        </is>
      </c>
      <c r="B13" s="3" t="inlineStr">
        <is>
          <t>Company-reported figures (attendee counts at own events, adoption metrics) are marked as such in Key details.</t>
        </is>
      </c>
    </row>
    <row r="14">
      <c r="A14" s="2" t="inlineStr">
        <is>
          <t>2</t>
        </is>
      </c>
      <c r="B14" s="3" t="inlineStr">
        <is>
          <t>Bots &amp; Buyers 2025 date (Oct 30, 2025) per external-agent finding; Keil's post timestamp implies late Oct/early Nov — treated as Oct 30, 2025.</t>
        </is>
      </c>
    </row>
    <row r="15">
      <c r="A15" s="2" t="inlineStr">
        <is>
          <t>3</t>
        </is>
      </c>
      <c r="B15" s="3" t="inlineStr">
        <is>
          <t>askLio won the DPW 'Growth Stage' Award 2025 (category for $2–10M ARR vendors) — some recaps call it 'DPW Innovation Award'; same award program.</t>
        </is>
      </c>
    </row>
    <row r="16">
      <c r="A16" s="2" t="inlineStr">
        <is>
          <t>4</t>
        </is>
      </c>
      <c r="B16" s="3" t="inlineStr">
        <is>
          <t>Firmographics second block (Clubhouse attendees) is industry-classification only — revenue/employees not verified in this pass.</t>
        </is>
      </c>
    </row>
    <row r="17">
      <c r="A17" s="2" t="inlineStr">
        <is>
          <t>5</t>
        </is>
      </c>
      <c r="B17" s="3" t="inlineStr">
        <is>
          <t>Walmart = engagement/endorser, not a confirmed customer.</t>
        </is>
      </c>
    </row>
    <row r="18">
      <c r="A18" s="2" t="n">
        <v>6</v>
      </c>
      <c r="B18" s="3" t="inlineStr">
        <is>
          <t>Bots &amp; Buyers correction (2026-08-31): the EU flagship was recorded as Sep 23–24 in Munich (presumed, venue TBA). Organizer verification moved it to Oct 27–28 at MotorWorld München — colliding with SIG Chicago (Oct 25–28), not ProcureCon Europe Cologne — and added a separate US edition, Bots &amp; Buyers NYC on Sep 23. See 16-event-status-update.md.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22" customWidth="1" min="4" max="4"/>
    <col width="24" customWidth="1" min="5" max="5"/>
    <col width="7" customWidth="1" min="6" max="6"/>
    <col width="20" customWidth="1" min="7" max="7"/>
    <col width="14" customWidth="1" min="8" max="8"/>
    <col width="24" customWidth="1" min="9" max="9"/>
    <col width="8" customWidth="1" min="10" max="10"/>
    <col width="8" customWidth="1" min="11" max="11"/>
    <col width="18" customWidth="1" min="12" max="12"/>
    <col width="10" customWidth="1" min="13" max="13"/>
    <col width="8" customWidth="1" min="14" max="14"/>
    <col width="30" customWidth="1" min="15" max="15"/>
    <col width="14" customWidth="1" min="16" max="16"/>
    <col width="26" customWidth="1" min="17" max="17"/>
    <col width="45" customWidth="1" min="18" max="18"/>
    <col width="45" customWidth="1" min="19" max="19"/>
    <col width="18" customWidth="1" min="20" max="20"/>
    <col width="55" customWidth="1" min="21" max="21"/>
    <col width="30" customWidth="1" min="22" max="22"/>
    <col width="60" customWidth="1" min="23" max="23"/>
    <col width="45" customWidth="1" min="24" max="24"/>
  </cols>
  <sheetData>
    <row r="1" ht="30" customHeight="1">
      <c r="A1" s="5" t="inlineStr">
        <is>
          <t>#</t>
        </is>
      </c>
      <c r="B1" s="5" t="inlineStr">
        <is>
          <t>Event</t>
        </is>
      </c>
      <c r="C1" s="5" t="inlineStr">
        <is>
          <t>Franchise / Series</t>
        </is>
      </c>
      <c r="D1" s="5" t="inlineStr">
        <is>
          <t>Category</t>
        </is>
      </c>
      <c r="E1" s="5" t="inlineStr">
        <is>
          <t>Organizer</t>
        </is>
      </c>
      <c r="F1" s="5" t="inlineStr">
        <is>
          <t>Year</t>
        </is>
      </c>
      <c r="G1" s="5" t="inlineStr">
        <is>
          <t>Date(s)</t>
        </is>
      </c>
      <c r="H1" s="5" t="inlineStr">
        <is>
          <t>City</t>
        </is>
      </c>
      <c r="I1" s="5" t="inlineStr">
        <is>
          <t>Venue</t>
        </is>
      </c>
      <c r="J1" s="5" t="inlineStr">
        <is>
          <t>Country</t>
        </is>
      </c>
      <c r="K1" s="5" t="inlineStr">
        <is>
          <t>Region</t>
        </is>
      </c>
      <c r="L1" s="5" t="inlineStr">
        <is>
          <t>Format</t>
        </is>
      </c>
      <c r="M1" s="5" t="inlineStr">
        <is>
          <t>Delivery</t>
        </is>
      </c>
      <c r="N1" s="5" t="inlineStr">
        <is>
          <t>Language</t>
        </is>
      </c>
      <c r="O1" s="5" t="inlineStr">
        <is>
          <t>Lio role</t>
        </is>
      </c>
      <c r="P1" s="5" t="inlineStr">
        <is>
          <t>Status</t>
        </is>
      </c>
      <c r="Q1" s="5" t="inlineStr">
        <is>
          <t>Confidence</t>
        </is>
      </c>
      <c r="R1" s="5" t="inlineStr">
        <is>
          <t>What it's about</t>
        </is>
      </c>
      <c r="S1" s="5" t="inlineStr">
        <is>
          <t>Who attends (audience profile)</t>
        </is>
      </c>
      <c r="T1" s="5" t="inlineStr">
        <is>
          <t>Scale (attendees)</t>
        </is>
      </c>
      <c r="U1" s="5" t="inlineStr">
        <is>
          <t>Named companies present</t>
        </is>
      </c>
      <c r="V1" s="5" t="inlineStr">
        <is>
          <t>Lio people involved</t>
        </is>
      </c>
      <c r="W1" s="5" t="inlineStr">
        <is>
          <t>Key details / intel</t>
        </is>
      </c>
      <c r="X1" s="5" t="inlineStr">
        <is>
          <t>Source URL</t>
        </is>
      </c>
    </row>
    <row r="2">
      <c r="A2" s="6" t="n">
        <v>1</v>
      </c>
      <c r="B2" s="6" t="inlineStr">
        <is>
          <t>Bots &amp; Buyers Munich 2025 (1st edition)</t>
        </is>
      </c>
      <c r="C2" s="6" t="inlineStr">
        <is>
          <t>Bots &amp; Buyers</t>
        </is>
      </c>
      <c r="D2" s="6" t="inlineStr">
        <is>
          <t>Own community flagship</t>
        </is>
      </c>
      <c r="E2" s="6" t="inlineStr">
        <is>
          <t>Lio (askLio)</t>
        </is>
      </c>
      <c r="F2" s="6" t="n">
        <v>2025</v>
      </c>
      <c r="G2" s="6" t="inlineStr">
        <is>
          <t>Oct 30, 2025</t>
        </is>
      </c>
      <c r="H2" s="6" t="inlineStr">
        <is>
          <t>Munich</t>
        </is>
      </c>
      <c r="I2" s="6" t="inlineStr">
        <is>
          <t>askLio office</t>
        </is>
      </c>
      <c r="J2" s="6" t="inlineStr">
        <is>
          <t>DE</t>
        </is>
      </c>
      <c r="K2" s="6" t="inlineStr">
        <is>
          <t>DACH</t>
        </is>
      </c>
      <c r="L2" s="6" t="inlineStr">
        <is>
          <t>Community event</t>
        </is>
      </c>
      <c r="M2" s="6" t="inlineStr">
        <is>
          <t>In-person</t>
        </is>
      </c>
      <c r="N2" s="6" t="inlineStr">
        <is>
          <t>EN</t>
        </is>
      </c>
      <c r="O2" s="6" t="inlineStr">
        <is>
          <t>Host</t>
        </is>
      </c>
      <c r="P2" s="6" t="inlineStr">
        <is>
          <t>Past</t>
        </is>
      </c>
      <c r="Q2" s="6" t="inlineStr">
        <is>
          <t>Confirmed</t>
        </is>
      </c>
      <c r="R2" s="6" t="inlineStr">
        <is>
          <t>Launch venue for the 'Multi Agent System for Procurement'; 'Agent Experience World' with 14 live agent demos</t>
        </is>
      </c>
      <c r="S2" s="6" t="inlineStr">
        <is>
          <t>Invited procurement leaders (DACH/EU)</t>
        </is>
      </c>
      <c r="T2" s="6" t="inlineStr">
        <is>
          <t>~150–170 (company-reported; 150 per Keil, '170+' per team recap)</t>
        </is>
      </c>
      <c r="U2" s="6" t="inlineStr">
        <is>
          <t>Not individually published</t>
        </is>
      </c>
      <c r="V2" s="6" t="inlineStr">
        <is>
          <t>Vladimir Keil + engineering team</t>
        </is>
      </c>
      <c r="W2" s="6" t="inlineStr">
        <is>
          <t>Category-first product launch; feedback 'only bad thing: just one day' drove 2-day 2026 Summit format; metrics pitched: 10% savings, 95% adoption, 85% ops automated</t>
        </is>
      </c>
      <c r="X2" s="6" t="inlineStr">
        <is>
          <t>https://www.linkedin.com/posts/vladimir-keil_category-first-asklio-lauched-the-multi-activity-7392551482727837696-00hJ</t>
        </is>
      </c>
    </row>
    <row r="3">
      <c r="A3" s="7" t="n">
        <v>2</v>
      </c>
      <c r="B3" s="7" t="inlineStr">
        <is>
          <t>Bots &amp; Buyers Munich 2026: Clubhouse Edition</t>
        </is>
      </c>
      <c r="C3" s="7" t="inlineStr">
        <is>
          <t>Bots &amp; Buyers</t>
        </is>
      </c>
      <c r="D3" s="7" t="inlineStr">
        <is>
          <t>Own community flagship</t>
        </is>
      </c>
      <c r="E3" s="7" t="inlineStr">
        <is>
          <t>Lio</t>
        </is>
      </c>
      <c r="F3" s="7" t="n">
        <v>2026</v>
      </c>
      <c r="G3" s="7" t="inlineStr">
        <is>
          <t>Jun 11, 2026</t>
        </is>
      </c>
      <c r="H3" s="7" t="inlineStr">
        <is>
          <t>Munich</t>
        </is>
      </c>
      <c r="I3" s="7" t="inlineStr">
        <is>
          <t>Lio HQ 'Clubhouse', Seidlstr. 23</t>
        </is>
      </c>
      <c r="J3" s="7" t="inlineStr">
        <is>
          <t>DE</t>
        </is>
      </c>
      <c r="K3" s="7" t="inlineStr">
        <is>
          <t>DACH</t>
        </is>
      </c>
      <c r="L3" s="7" t="inlineStr">
        <is>
          <t>Community event</t>
        </is>
      </c>
      <c r="M3" s="7" t="inlineStr">
        <is>
          <t>In-person</t>
        </is>
      </c>
      <c r="N3" s="7" t="inlineStr">
        <is>
          <t>EN</t>
        </is>
      </c>
      <c r="O3" s="7" t="inlineStr">
        <is>
          <t>Host</t>
        </is>
      </c>
      <c r="P3" s="7" t="inlineStr">
        <is>
          <t>Past</t>
        </is>
      </c>
      <c r="Q3" s="7" t="inlineStr">
        <is>
          <t>Confirmed</t>
        </is>
      </c>
      <c r="R3" s="7" t="inlineStr">
        <is>
          <t>Full-day community event; 'Agentic Experience World' — agents across procurement, logistics, finance</t>
        </is>
      </c>
      <c r="S3" s="7" t="inlineStr">
        <is>
          <t>Invited European procurement leaders</t>
        </is>
      </c>
      <c r="T3" s="7" t="inlineStr">
        <is>
          <t>~200 professionals + ~100 Lio staff (company-reported)</t>
        </is>
      </c>
      <c r="U3" s="7" t="inlineStr">
        <is>
          <t>BASF, Benteler, Breuninger, Deutsche Bahn, Dormakaba, FlixBus, IMS Gear, Lufthansa, Munich Re, Nemetschek, NEW AG, Pfalzwerke, Rehau, Schaeffler, Scheidt &amp; Bachmann, Schott, Seidel, Speira, SWM, SWMH, Toi Toi &amp; Dixi, TÜV, Webasto</t>
        </is>
      </c>
      <c r="V3" s="7" t="inlineStr">
        <is>
          <t>Vladimir Keil; organized in-house by Jill Therese Stäbe</t>
        </is>
      </c>
      <c r="W3" s="7" t="inlineStr">
        <is>
          <t>CPO attendee quote: 'This feels at least 5 years ahead of everything I've seen so far'; closing announcement of The Summit (Sep 23–24, 2026)</t>
        </is>
      </c>
      <c r="X3" s="7" t="inlineStr">
        <is>
          <t>https://lio.ai/bots-buyers-clubhouse-edition</t>
        </is>
      </c>
    </row>
    <row r="4">
      <c r="A4" s="6" t="n">
        <v>3</v>
      </c>
      <c r="B4" s="6" t="inlineStr">
        <is>
          <t>Bots &amp; Buyers 2026 EU — The Summit</t>
        </is>
      </c>
      <c r="C4" s="6" t="inlineStr">
        <is>
          <t>Bots &amp; Buyers</t>
        </is>
      </c>
      <c r="D4" s="6" t="inlineStr">
        <is>
          <t>Own community flagship</t>
        </is>
      </c>
      <c r="E4" s="6" t="inlineStr">
        <is>
          <t>Lio</t>
        </is>
      </c>
      <c r="F4" s="6" t="n">
        <v>2026</v>
      </c>
      <c r="G4" s="6" t="inlineStr">
        <is>
          <t>Oct 27–28, 2026</t>
        </is>
      </c>
      <c r="H4" s="6" t="inlineStr">
        <is>
          <t>Munich</t>
        </is>
      </c>
      <c r="I4" s="6" t="inlineStr">
        <is>
          <t>MotorWorld München (Munich-Freimann)</t>
        </is>
      </c>
      <c r="J4" s="6" t="inlineStr">
        <is>
          <t>DE</t>
        </is>
      </c>
      <c r="K4" s="6" t="inlineStr">
        <is>
          <t>DACH</t>
        </is>
      </c>
      <c r="L4" s="6" t="inlineStr">
        <is>
          <t>Community summit</t>
        </is>
      </c>
      <c r="M4" s="6" t="inlineStr">
        <is>
          <t>In-person</t>
        </is>
      </c>
      <c r="N4" s="6" t="inlineStr">
        <is>
          <t>EN</t>
        </is>
      </c>
      <c r="O4" s="6" t="inlineStr">
        <is>
          <t>Host</t>
        </is>
      </c>
      <c r="P4" s="6" t="inlineStr">
        <is>
          <t>Upcoming</t>
        </is>
      </c>
      <c r="Q4" s="6" t="inlineStr">
        <is>
          <t>Confirmed (organizer-verified 2026-08-31)</t>
        </is>
      </c>
      <c r="R4" s="6" t="inlineStr">
        <is>
          <t>First 2-day edition of the flagship community franchise; billed as "the most AI-focused procurement event on earth"</t>
        </is>
      </c>
      <c r="S4" s="6" t="inlineStr">
        <is>
          <t>Procurement elite (invite/waitlist)</t>
        </is>
      </c>
      <c r="T4" s="6" t="inlineStr">
        <is>
          <t>TBA</t>
        </is>
      </c>
      <c r="U4" s="6" t="inlineStr">
        <is>
          <t>TBA</t>
        </is>
      </c>
      <c r="V4" s="6" t="inlineStr">
        <is>
          <t>TBA</t>
        </is>
      </c>
      <c r="W4" s="6" t="inlineStr">
        <is>
          <t>CORRECTED 2026-08-31: previously recorded as Sep 23–24 in Munich (presumed, venue TBA) — organizer verification moved it to Oct 27–28 at MotorWorld München. It therefore COLLIDES with SIG Chicago (Oct 25–28), not with ProcureCon Europe Cologne. Direct response to the #1 attendee complaint about the 1-day format. Excluded from the P1 budget as an own event, but not from the calendar conflict.</t>
        </is>
      </c>
      <c r="X4" s="6" t="inlineStr">
        <is>
          <t>https://bots-and-buyers-eu.lio.ai/</t>
        </is>
      </c>
    </row>
    <row r="5">
      <c r="A5" s="7" t="n">
        <v>4</v>
      </c>
      <c r="B5" s="7" t="inlineStr">
        <is>
          <t>Bots &amp; Buyers US 2026</t>
        </is>
      </c>
      <c r="C5" s="7" t="inlineStr">
        <is>
          <t>Bots &amp; Buyers</t>
        </is>
      </c>
      <c r="D5" s="7" t="inlineStr">
        <is>
          <t>Own community flagship</t>
        </is>
      </c>
      <c r="E5" s="7" t="inlineStr">
        <is>
          <t>Lio</t>
        </is>
      </c>
      <c r="F5" s="7" t="n">
        <v>2026</v>
      </c>
      <c r="G5" s="7" t="inlineStr">
        <is>
          <t>TBA (teased since Nov 2025)</t>
        </is>
      </c>
      <c r="H5" s="7" t="inlineStr">
        <is>
          <t>US TBA</t>
        </is>
      </c>
      <c r="I5" s="7" t="inlineStr">
        <is>
          <t>TBA</t>
        </is>
      </c>
      <c r="J5" s="7" t="inlineStr">
        <is>
          <t>US</t>
        </is>
      </c>
      <c r="K5" s="7" t="inlineStr">
        <is>
          <t>US</t>
        </is>
      </c>
      <c r="L5" s="7" t="inlineStr">
        <is>
          <t>Community event</t>
        </is>
      </c>
      <c r="M5" s="7" t="inlineStr">
        <is>
          <t>In-person</t>
        </is>
      </c>
      <c r="N5" s="7" t="inlineStr">
        <is>
          <t>EN</t>
        </is>
      </c>
      <c r="O5" s="7" t="inlineStr">
        <is>
          <t>Host</t>
        </is>
      </c>
      <c r="P5" s="7" t="inlineStr">
        <is>
          <t>Announced (TBA)</t>
        </is>
      </c>
      <c r="Q5" s="7" t="inlineStr">
        <is>
          <t>Confirmed (announced)</t>
        </is>
      </c>
      <c r="R5" s="7" t="inlineStr">
        <is>
          <t>US edition: connect industry experts, encourage partnerships, discuss procurement roadmap</t>
        </is>
      </c>
      <c r="S5" s="7" t="inlineStr">
        <is>
          <t>US procurement leaders</t>
        </is>
      </c>
      <c r="T5" s="7" t="inlineStr">
        <is>
          <t>TBA</t>
        </is>
      </c>
      <c r="U5" s="7" t="inlineStr">
        <is>
          <t>TBA</t>
        </is>
      </c>
      <c r="V5" s="7" t="inlineStr">
        <is>
          <t>TBA</t>
        </is>
      </c>
      <c r="W5" s="7" t="inlineStr">
        <is>
          <t>Signals US community-GTM replication of the Munich playbook</t>
        </is>
      </c>
      <c r="X5" s="7" t="inlineStr">
        <is>
          <t>https://lio.ai/events (signup: lio-ai.typeform.com/to/CIS8V08o)</t>
        </is>
      </c>
    </row>
    <row r="6">
      <c r="A6" s="6" t="n">
        <v>5</v>
      </c>
      <c r="B6" s="6" t="inlineStr">
        <is>
          <t>Procurement Agentic AI Leaders Dinner (Miami)</t>
        </is>
      </c>
      <c r="C6" s="6" t="inlineStr">
        <is>
          <t>CPO Dinners (US)</t>
        </is>
      </c>
      <c r="D6" s="6" t="inlineStr">
        <is>
          <t>Own executive dinner</t>
        </is>
      </c>
      <c r="E6" s="6" t="inlineStr">
        <is>
          <t>Lio</t>
        </is>
      </c>
      <c r="F6" s="6" t="n">
        <v>2026</v>
      </c>
      <c r="G6" s="6" t="inlineStr">
        <is>
          <t>Apr 14, 2026</t>
        </is>
      </c>
      <c r="H6" s="6" t="inlineStr">
        <is>
          <t>Miami</t>
        </is>
      </c>
      <c r="I6" s="6" t="inlineStr">
        <is>
          <t>Undisclosed (Apple Maps link)</t>
        </is>
      </c>
      <c r="J6" s="6" t="inlineStr">
        <is>
          <t>US</t>
        </is>
      </c>
      <c r="K6" s="6" t="inlineStr">
        <is>
          <t>US</t>
        </is>
      </c>
      <c r="L6" s="6" t="inlineStr">
        <is>
          <t>Private dinner</t>
        </is>
      </c>
      <c r="M6" s="6" t="inlineStr">
        <is>
          <t>In-person</t>
        </is>
      </c>
      <c r="N6" s="6" t="inlineStr">
        <is>
          <t>EN</t>
        </is>
      </c>
      <c r="O6" s="6" t="inlineStr">
        <is>
          <t>Host</t>
        </is>
      </c>
      <c r="P6" s="6" t="inlineStr">
        <is>
          <t>Past</t>
        </is>
      </c>
      <c r="Q6" s="6" t="inlineStr">
        <is>
          <t>Confirmed</t>
        </is>
      </c>
      <c r="R6" s="6" t="inlineStr">
        <is>
          <t>Agentic AI for senior procurement execs; sidecar to NAPES (Apr 13)</t>
        </is>
      </c>
      <c r="S6" s="6" t="inlineStr">
        <is>
          <t>Select senior procurement leaders, invitation-only</t>
        </is>
      </c>
      <c r="T6" s="6" t="inlineStr">
        <is>
          <t>Small private group</t>
        </is>
      </c>
      <c r="U6" s="6" t="inlineStr">
        <is>
          <t>Walmart (co-host affiliation)</t>
        </is>
      </c>
      <c r="V6" s="6" t="inlineStr">
        <is>
          <t>Jared Petras, Vladimir Keil, Till Wagner</t>
        </is>
      </c>
      <c r="W6" s="6" t="inlineStr">
        <is>
          <t>Held on day 2 of Petras's Lio tenure (appointed Head of US Growth eff. Apr 13); page still titled him Walmart Sr. Director</t>
        </is>
      </c>
      <c r="X6" s="6" t="inlineStr">
        <is>
          <t>https://lio.ai/lio-exclusive-cpo-dinner-2026</t>
        </is>
      </c>
    </row>
    <row r="7">
      <c r="A7" s="7" t="n">
        <v>6</v>
      </c>
      <c r="B7" s="7" t="inlineStr">
        <is>
          <t>Procurement Agentic AI Leaders Dinner — DPW Edition (NYC)</t>
        </is>
      </c>
      <c r="C7" s="7" t="inlineStr">
        <is>
          <t>CPO Dinners (US)</t>
        </is>
      </c>
      <c r="D7" s="7" t="inlineStr">
        <is>
          <t>Own executive dinner</t>
        </is>
      </c>
      <c r="E7" s="7" t="inlineStr">
        <is>
          <t>Lio</t>
        </is>
      </c>
      <c r="F7" s="7" t="n">
        <v>2026</v>
      </c>
      <c r="G7" s="7" t="inlineStr">
        <is>
          <t>Jun 2, 2026</t>
        </is>
      </c>
      <c r="H7" s="7" t="inlineStr">
        <is>
          <t>New York</t>
        </is>
      </c>
      <c r="I7" s="7" t="inlineStr">
        <is>
          <t>Undisclosed</t>
        </is>
      </c>
      <c r="J7" s="7" t="inlineStr">
        <is>
          <t>US</t>
        </is>
      </c>
      <c r="K7" s="7" t="inlineStr">
        <is>
          <t>US</t>
        </is>
      </c>
      <c r="L7" s="7" t="inlineStr">
        <is>
          <t>Private dinner</t>
        </is>
      </c>
      <c r="M7" s="7" t="inlineStr">
        <is>
          <t>In-person</t>
        </is>
      </c>
      <c r="N7" s="7" t="inlineStr">
        <is>
          <t>EN</t>
        </is>
      </c>
      <c r="O7" s="7" t="inlineStr">
        <is>
          <t>Host</t>
        </is>
      </c>
      <c r="P7" s="7" t="inlineStr">
        <is>
          <t>Past</t>
        </is>
      </c>
      <c r="Q7" s="7" t="inlineStr">
        <is>
          <t>Confirmed</t>
        </is>
      </c>
      <c r="R7" s="7" t="inlineStr">
        <is>
          <t>Night-before-DPW-New-York dinner; framed on 2-year Walmart partnership + a16z backing</t>
        </is>
      </c>
      <c r="S7" s="7" t="inlineStr">
        <is>
          <t>Senior procurement leaders, invitation-only (Typeform RSVP)</t>
        </is>
      </c>
      <c r="T7" s="7" t="inlineStr">
        <is>
          <t>Small private group</t>
        </is>
      </c>
      <c r="U7" s="7" t="inlineStr">
        <is>
          <t>Walmart, a16z (referenced on page)</t>
        </is>
      </c>
      <c r="V7" s="7" t="inlineStr">
        <is>
          <t>Jared Petras, Vladimir Keil, Till Wagner</t>
        </is>
      </c>
      <c r="W7" s="7" t="inlineStr">
        <is>
          <t>NOT on DPW's official side-events list (hosts there: Zip, ORO Labs, Deloitte etc.) — deliberately private</t>
        </is>
      </c>
      <c r="X7" s="7" t="inlineStr">
        <is>
          <t>https://lio.ai/lio-exclusive-cpo-dinner-dpw-edition</t>
        </is>
      </c>
    </row>
    <row r="8">
      <c r="A8" s="6" t="n">
        <v>7</v>
      </c>
      <c r="B8" s="6" t="inlineStr">
        <is>
          <t>The Lio Principals — BME eLösungstage 2026 Edition</t>
        </is>
      </c>
      <c r="C8" s="6" t="inlineStr">
        <is>
          <t>The Lio Principals (EU)</t>
        </is>
      </c>
      <c r="D8" s="6" t="inlineStr">
        <is>
          <t>Own executive dinner</t>
        </is>
      </c>
      <c r="E8" s="6" t="inlineStr">
        <is>
          <t>Lio</t>
        </is>
      </c>
      <c r="F8" s="6" t="n">
        <v>2026</v>
      </c>
      <c r="G8" s="6" t="inlineStr">
        <is>
          <t>May 19, 2026, 7:30 PM</t>
        </is>
      </c>
      <c r="H8" s="6" t="inlineStr">
        <is>
          <t>Düsseldorf</t>
        </is>
      </c>
      <c r="I8" s="6" t="inlineStr">
        <is>
          <t>Undisclosed</t>
        </is>
      </c>
      <c r="J8" s="6" t="inlineStr">
        <is>
          <t>DE</t>
        </is>
      </c>
      <c r="K8" s="6" t="inlineStr">
        <is>
          <t>DACH</t>
        </is>
      </c>
      <c r="L8" s="6" t="inlineStr">
        <is>
          <t>Private dinner</t>
        </is>
      </c>
      <c r="M8" s="6" t="inlineStr">
        <is>
          <t>In-person</t>
        </is>
      </c>
      <c r="N8" s="6" t="inlineStr">
        <is>
          <t>DE/EN</t>
        </is>
      </c>
      <c r="O8" s="6" t="inlineStr">
        <is>
          <t>Host</t>
        </is>
      </c>
      <c r="P8" s="6" t="inlineStr">
        <is>
          <t>Past</t>
        </is>
      </c>
      <c r="Q8" s="6" t="inlineStr">
        <is>
          <t>Confirmed</t>
        </is>
      </c>
      <c r="R8" s="6" t="inlineStr">
        <is>
          <t>Deepen the conversations of the eLösungstage day; peer connection</t>
        </is>
      </c>
      <c r="S8" s="6" t="inlineStr">
        <is>
          <t>'Carefully selected' senior procurement peers, invitation-only</t>
        </is>
      </c>
      <c r="T8" s="6" t="inlineStr">
        <is>
          <t>Small private group</t>
        </is>
      </c>
      <c r="U8" s="6" t="inlineStr">
        <is>
          <t>Not published</t>
        </is>
      </c>
      <c r="V8" s="6" t="inlineStr">
        <is>
          <t>Not published</t>
        </is>
      </c>
      <c r="W8" s="6" t="inlineStr">
        <is>
          <t>European mirror of the US dinner circuit; same-week cadence as WPC dinner</t>
        </is>
      </c>
      <c r="X8" s="6" t="inlineStr">
        <is>
          <t>https://lio.ai/the-lio-principals-bme-e-loesungstage-2026-edition</t>
        </is>
      </c>
    </row>
    <row r="9">
      <c r="A9" s="7" t="n">
        <v>8</v>
      </c>
      <c r="B9" s="7" t="inlineStr">
        <is>
          <t>The Lio Principals — World Procurement Congress 2026 Edition</t>
        </is>
      </c>
      <c r="C9" s="7" t="inlineStr">
        <is>
          <t>The Lio Principals (EU)</t>
        </is>
      </c>
      <c r="D9" s="7" t="inlineStr">
        <is>
          <t>Own executive dinner</t>
        </is>
      </c>
      <c r="E9" s="7" t="inlineStr">
        <is>
          <t>Lio</t>
        </is>
      </c>
      <c r="F9" s="7" t="n">
        <v>2026</v>
      </c>
      <c r="G9" s="7" t="inlineStr">
        <is>
          <t>May 20, 2026, 8:15 PM</t>
        </is>
      </c>
      <c r="H9" s="7" t="inlineStr">
        <is>
          <t>London</t>
        </is>
      </c>
      <c r="I9" s="7" t="inlineStr">
        <is>
          <t>Gaucho at The O2, Peninsula Square</t>
        </is>
      </c>
      <c r="J9" s="7" t="inlineStr">
        <is>
          <t>UK</t>
        </is>
      </c>
      <c r="K9" s="7" t="inlineStr">
        <is>
          <t>UK</t>
        </is>
      </c>
      <c r="L9" s="7" t="inlineStr">
        <is>
          <t>Private dinner</t>
        </is>
      </c>
      <c r="M9" s="7" t="inlineStr">
        <is>
          <t>In-person</t>
        </is>
      </c>
      <c r="N9" s="7" t="inlineStr">
        <is>
          <t>EN</t>
        </is>
      </c>
      <c r="O9" s="7" t="inlineStr">
        <is>
          <t>Host</t>
        </is>
      </c>
      <c r="P9" s="7" t="inlineStr">
        <is>
          <t>Past</t>
        </is>
      </c>
      <c r="Q9" s="7" t="inlineStr">
        <is>
          <t>Confirmed</t>
        </is>
      </c>
      <c r="R9" s="7" t="inlineStr">
        <is>
          <t>Sidecar dinner during World Procurement Congress</t>
        </is>
      </c>
      <c r="S9" s="7" t="inlineStr">
        <is>
          <t>Select senior procurement leaders, invitation-only (Typeform confirm)</t>
        </is>
      </c>
      <c r="T9" s="7" t="inlineStr">
        <is>
          <t>Small private group</t>
        </is>
      </c>
      <c r="U9" s="7" t="inlineStr">
        <is>
          <t>Not published</t>
        </is>
      </c>
      <c r="V9" s="7" t="inlineStr">
        <is>
          <t>Not published</t>
        </is>
      </c>
      <c r="W9" s="7" t="inlineStr">
        <is>
          <t>Targets WPC's 70%-director+ audience</t>
        </is>
      </c>
      <c r="X9" s="7" t="inlineStr">
        <is>
          <t>https://lio.ai/the-lio-principals-world-procurement-congress-2026-edition</t>
        </is>
      </c>
    </row>
    <row r="10">
      <c r="A10" s="6" t="n">
        <v>9</v>
      </c>
      <c r="B10" s="6" t="inlineStr">
        <is>
          <t>FDE Night 2026</t>
        </is>
      </c>
      <c r="C10" s="6" t="inlineStr">
        <is>
          <t>Technical community</t>
        </is>
      </c>
      <c r="D10" s="6" t="inlineStr">
        <is>
          <t>Own technical/GTM community</t>
        </is>
      </c>
      <c r="E10" s="6" t="inlineStr">
        <is>
          <t>Lio</t>
        </is>
      </c>
      <c r="F10" s="6" t="n">
        <v>2026</v>
      </c>
      <c r="G10" s="6" t="inlineStr">
        <is>
          <t>TBA</t>
        </is>
      </c>
      <c r="H10" s="6" t="inlineStr">
        <is>
          <t>Europe TBA</t>
        </is>
      </c>
      <c r="I10" s="6" t="inlineStr">
        <is>
          <t>TBA</t>
        </is>
      </c>
      <c r="J10" s="6" t="inlineStr">
        <is>
          <t>TBA</t>
        </is>
      </c>
      <c r="K10" s="6" t="inlineStr">
        <is>
          <t>EU</t>
        </is>
      </c>
      <c r="L10" s="6" t="inlineStr">
        <is>
          <t>Community meetup</t>
        </is>
      </c>
      <c r="M10" s="6" t="inlineStr">
        <is>
          <t>In-person</t>
        </is>
      </c>
      <c r="N10" s="6" t="inlineStr">
        <is>
          <t>EN</t>
        </is>
      </c>
      <c r="O10" s="6" t="inlineStr">
        <is>
          <t>Host</t>
        </is>
      </c>
      <c r="P10" s="6" t="inlineStr">
        <is>
          <t>Announced (TBA)</t>
        </is>
      </c>
      <c r="Q10" s="6" t="inlineStr">
        <is>
          <t>Confirmed (announced)</t>
        </is>
      </c>
      <c r="R10" s="6" t="inlineStr">
        <is>
          <t>Meetup for Forward Deployed Engineers, technical operators, and those exploring the FDE role in Europe</t>
        </is>
      </c>
      <c r="S10" s="6" t="inlineStr">
        <is>
          <t>FDEs, technical operators, AI engineers</t>
        </is>
      </c>
      <c r="T10" s="6" t="inlineStr">
        <is>
          <t>TBA</t>
        </is>
      </c>
      <c r="U10" s="6" t="inlineStr">
        <is>
          <t>TBA</t>
        </is>
      </c>
      <c r="V10" s="6" t="inlineStr">
        <is>
          <t>TBA</t>
        </is>
      </c>
      <c r="W10" s="6" t="inlineStr">
        <is>
          <t>Talent/brand play matching Lio's Palantir-style FDE hiring push</t>
        </is>
      </c>
      <c r="X10" s="6" t="inlineStr">
        <is>
          <t>https://lio.ai/events (signup: lio-ai.typeform.com/to/ASJN0iqE)</t>
        </is>
      </c>
    </row>
    <row r="11">
      <c r="A11" s="7" t="n">
        <v>10</v>
      </c>
      <c r="B11" s="7" t="inlineStr">
        <is>
          <t>Fireside Chat w/ a16z: 'Winning Global Enterprises — The GTM Playbook for AI Agents'</t>
        </is>
      </c>
      <c r="C11" s="7" t="inlineStr">
        <is>
          <t>GTM community</t>
        </is>
      </c>
      <c r="D11" s="7" t="inlineStr">
        <is>
          <t>Own technical/GTM community</t>
        </is>
      </c>
      <c r="E11" s="7" t="inlineStr">
        <is>
          <t>Lio + a16z</t>
        </is>
      </c>
      <c r="F11" s="7" t="n">
        <v>2026</v>
      </c>
      <c r="G11" s="7" t="inlineStr">
        <is>
          <t>TBA</t>
        </is>
      </c>
      <c r="H11" s="7" t="inlineStr">
        <is>
          <t>TBA</t>
        </is>
      </c>
      <c r="I11" s="7" t="inlineStr">
        <is>
          <t>TBA</t>
        </is>
      </c>
      <c r="J11" s="7" t="inlineStr">
        <is>
          <t>TBA</t>
        </is>
      </c>
      <c r="K11" s="7" t="inlineStr">
        <is>
          <t>EU</t>
        </is>
      </c>
      <c r="L11" s="7" t="inlineStr">
        <is>
          <t>Fireside chat</t>
        </is>
      </c>
      <c r="M11" s="7" t="inlineStr">
        <is>
          <t>In-person</t>
        </is>
      </c>
      <c r="N11" s="7" t="inlineStr">
        <is>
          <t>EN</t>
        </is>
      </c>
      <c r="O11" s="7" t="inlineStr">
        <is>
          <t>Host</t>
        </is>
      </c>
      <c r="P11" s="7" t="inlineStr">
        <is>
          <t>Announced (TBA)</t>
        </is>
      </c>
      <c r="Q11" s="7" t="inlineStr">
        <is>
          <t>Confirmed (announced)</t>
        </is>
      </c>
      <c r="R11" s="7" t="inlineStr">
        <is>
          <t>GTM for AI agents with representatives of a16z + Lio founding team</t>
        </is>
      </c>
      <c r="S11" s="7" t="inlineStr">
        <is>
          <t>Founders, operators, GTM leaders</t>
        </is>
      </c>
      <c r="T11" s="7" t="inlineStr">
        <is>
          <t>TBA</t>
        </is>
      </c>
      <c r="U11" s="7" t="inlineStr">
        <is>
          <t>a16z</t>
        </is>
      </c>
      <c r="V11" s="7" t="inlineStr">
        <is>
          <t>Founding team (Keil, Wagner, Heinzmann) + a16z reps</t>
        </is>
      </c>
      <c r="W11" s="7" t="inlineStr">
        <is>
          <t>Page copy: 'a16z is finally investing into a European startup again - us!'</t>
        </is>
      </c>
      <c r="X11" s="7" t="inlineStr">
        <is>
          <t>https://lio.ai/events (signup: lio-ai.typeform.com/to/bewwETDX)</t>
        </is>
      </c>
    </row>
    <row r="12">
      <c r="A12" s="6" t="n">
        <v>11</v>
      </c>
      <c r="B12" s="6" t="inlineStr">
        <is>
          <t>Hackathon: Agentic AI</t>
        </is>
      </c>
      <c r="C12" s="6" t="inlineStr">
        <is>
          <t>Technical community</t>
        </is>
      </c>
      <c r="D12" s="6" t="inlineStr">
        <is>
          <t>Own technical/GTM community</t>
        </is>
      </c>
      <c r="E12" s="6" t="inlineStr">
        <is>
          <t>Lio</t>
        </is>
      </c>
      <c r="F12" s="6" t="n">
        <v>2026</v>
      </c>
      <c r="G12" s="6" t="inlineStr">
        <is>
          <t>TBA</t>
        </is>
      </c>
      <c r="H12" s="6" t="inlineStr">
        <is>
          <t>TBA</t>
        </is>
      </c>
      <c r="I12" s="6" t="inlineStr">
        <is>
          <t>TBA</t>
        </is>
      </c>
      <c r="J12" s="6" t="inlineStr">
        <is>
          <t>TBA</t>
        </is>
      </c>
      <c r="K12" s="6" t="inlineStr">
        <is>
          <t>EU</t>
        </is>
      </c>
      <c r="L12" s="6" t="inlineStr">
        <is>
          <t>Hackathon</t>
        </is>
      </c>
      <c r="M12" s="6" t="inlineStr">
        <is>
          <t>In-person</t>
        </is>
      </c>
      <c r="N12" s="6" t="inlineStr">
        <is>
          <t>EN</t>
        </is>
      </c>
      <c r="O12" s="6" t="inlineStr">
        <is>
          <t>Host</t>
        </is>
      </c>
      <c r="P12" s="6" t="inlineStr">
        <is>
          <t>Announced (TBA)</t>
        </is>
      </c>
      <c r="Q12" s="6" t="inlineStr">
        <is>
          <t>Confirmed (announced)</t>
        </is>
      </c>
      <c r="R12" s="6" t="inlineStr">
        <is>
          <t>'Solve the hardest technical problems with AI'</t>
        </is>
      </c>
      <c r="S12" s="6" t="inlineStr">
        <is>
          <t>Engineers, students, AI builders</t>
        </is>
      </c>
      <c r="T12" s="6" t="inlineStr">
        <is>
          <t>TBA</t>
        </is>
      </c>
      <c r="U12" s="6" t="inlineStr">
        <is>
          <t>TBA</t>
        </is>
      </c>
      <c r="V12" s="6" t="inlineStr">
        <is>
          <t>TBA</t>
        </is>
      </c>
      <c r="W12" s="6" t="inlineStr">
        <is>
          <t>Engineering-brand + recruiting funnel</t>
        </is>
      </c>
      <c r="X12" s="6" t="inlineStr">
        <is>
          <t>https://lio.ai/events (signup: lio-ai.typeform.com/to/grXj3ZTD)</t>
        </is>
      </c>
    </row>
    <row r="13">
      <c r="A13" s="7" t="n">
        <v>12</v>
      </c>
      <c r="B13" s="7" t="inlineStr">
        <is>
          <t>Die Zukunft von AI-Agents im Einkauf</t>
        </is>
      </c>
      <c r="C13" s="7" t="inlineStr">
        <is>
          <t>Webinar series (DE/EN pairs)</t>
        </is>
      </c>
      <c r="D13" s="7" t="inlineStr">
        <is>
          <t>Own webinar</t>
        </is>
      </c>
      <c r="E13" s="7" t="inlineStr">
        <is>
          <t>Lio</t>
        </is>
      </c>
      <c r="F13" s="7" t="n">
        <v>2026</v>
      </c>
      <c r="G13" s="7" t="inlineStr">
        <is>
          <t>Apr 30, 2026, 3:00 PM CEST</t>
        </is>
      </c>
      <c r="H13" s="7" t="inlineStr">
        <is>
          <t>Online</t>
        </is>
      </c>
      <c r="I13" s="7" t="inlineStr">
        <is>
          <t>Livestorm</t>
        </is>
      </c>
      <c r="J13" s="7" t="inlineStr">
        <is>
          <t>—</t>
        </is>
      </c>
      <c r="K13" s="7" t="inlineStr">
        <is>
          <t>Online</t>
        </is>
      </c>
      <c r="L13" s="7" t="inlineStr">
        <is>
          <t>Webinar</t>
        </is>
      </c>
      <c r="M13" s="7" t="inlineStr">
        <is>
          <t>Online</t>
        </is>
      </c>
      <c r="N13" s="7" t="inlineStr">
        <is>
          <t>DE</t>
        </is>
      </c>
      <c r="O13" s="7" t="inlineStr">
        <is>
          <t>Host</t>
        </is>
      </c>
      <c r="P13" s="7" t="inlineStr">
        <is>
          <t>Past</t>
        </is>
      </c>
      <c r="Q13" s="7" t="inlineStr">
        <is>
          <t>Confirmed</t>
        </is>
      </c>
      <c r="R13" s="7" t="inlineStr">
        <is>
          <t>What the next 24 months of AI agents in procurement look like</t>
        </is>
      </c>
      <c r="S13" s="7" t="inlineStr">
        <is>
          <t>German-speaking CPOs &amp; procurement leaders</t>
        </is>
      </c>
      <c r="T13" s="7" t="inlineStr">
        <is>
          <t>Not published</t>
        </is>
      </c>
      <c r="U13" s="7" t="inlineStr">
        <is>
          <t>—</t>
        </is>
      </c>
      <c r="V13" s="7" t="inlineStr">
        <is>
          <t>Speakers not published (Patrick Hasse associated via LinkedIn promo — unconfirmed)</t>
        </is>
      </c>
      <c r="W13" s="7" t="inlineStr">
        <is>
          <t>Weekly DE/EN pairing, Apr–May 2026; themes mirror newsroom content pillars</t>
        </is>
      </c>
      <c r="X13" s="7" t="inlineStr">
        <is>
          <t>https://app.livestorm.co/lio</t>
        </is>
      </c>
    </row>
    <row r="14">
      <c r="A14" s="6" t="n">
        <v>13</v>
      </c>
      <c r="B14" s="6" t="inlineStr">
        <is>
          <t>The Future of AI Agents in Procurement</t>
        </is>
      </c>
      <c r="C14" s="6" t="inlineStr">
        <is>
          <t>Webinar series (DE/EN pairs)</t>
        </is>
      </c>
      <c r="D14" s="6" t="inlineStr">
        <is>
          <t>Own webinar</t>
        </is>
      </c>
      <c r="E14" s="6" t="inlineStr">
        <is>
          <t>Lio</t>
        </is>
      </c>
      <c r="F14" s="6" t="n">
        <v>2026</v>
      </c>
      <c r="G14" s="6" t="inlineStr">
        <is>
          <t>Apr 30, 2026, 11 AM EDT</t>
        </is>
      </c>
      <c r="H14" s="6" t="inlineStr">
        <is>
          <t>Online</t>
        </is>
      </c>
      <c r="I14" s="6" t="inlineStr">
        <is>
          <t>Livestorm</t>
        </is>
      </c>
      <c r="J14" s="6" t="inlineStr">
        <is>
          <t>—</t>
        </is>
      </c>
      <c r="K14" s="6" t="inlineStr">
        <is>
          <t>Online</t>
        </is>
      </c>
      <c r="L14" s="6" t="inlineStr">
        <is>
          <t>Webinar</t>
        </is>
      </c>
      <c r="M14" s="6" t="inlineStr">
        <is>
          <t>Online</t>
        </is>
      </c>
      <c r="N14" s="6" t="inlineStr">
        <is>
          <t>EN</t>
        </is>
      </c>
      <c r="O14" s="6" t="inlineStr">
        <is>
          <t>Host</t>
        </is>
      </c>
      <c r="P14" s="6" t="inlineStr">
        <is>
          <t>Past</t>
        </is>
      </c>
      <c r="Q14" s="6" t="inlineStr">
        <is>
          <t>Confirmed</t>
        </is>
      </c>
      <c r="R14" s="6" t="inlineStr">
        <is>
          <t>Thesis: 'procurement will change more in the next three years than it has in the last thirty'</t>
        </is>
      </c>
      <c r="S14" s="6" t="inlineStr">
        <is>
          <t>CPOs &amp; procurement leaders (US/international)</t>
        </is>
      </c>
      <c r="T14" s="6" t="inlineStr">
        <is>
          <t>Not published</t>
        </is>
      </c>
      <c r="U14" s="6" t="inlineStr">
        <is>
          <t>—</t>
        </is>
      </c>
      <c r="V14" s="6" t="inlineStr">
        <is>
          <t>Speakers not published (Patrick Hasse associated via LinkedIn promo — unconfirmed)</t>
        </is>
      </c>
      <c r="W14" s="6" t="inlineStr">
        <is>
          <t>Weekly DE/EN pairing, Apr–May 2026; themes mirror newsroom content pillars</t>
        </is>
      </c>
      <c r="X14" s="6" t="inlineStr">
        <is>
          <t>https://app.livestorm.co/lio/en-the-future-of-ai-agents-in-procurement</t>
        </is>
      </c>
    </row>
    <row r="15">
      <c r="A15" s="7" t="n">
        <v>14</v>
      </c>
      <c r="B15" s="7" t="inlineStr">
        <is>
          <t>Radikale Vereinfachung: Wie Ihre Business User den Einkauf endlich lieben werden</t>
        </is>
      </c>
      <c r="C15" s="7" t="inlineStr">
        <is>
          <t>Webinar series (DE/EN pairs)</t>
        </is>
      </c>
      <c r="D15" s="7" t="inlineStr">
        <is>
          <t>Own webinar</t>
        </is>
      </c>
      <c r="E15" s="7" t="inlineStr">
        <is>
          <t>Lio</t>
        </is>
      </c>
      <c r="F15" s="7" t="n">
        <v>2026</v>
      </c>
      <c r="G15" s="7" t="inlineStr">
        <is>
          <t>May 6, 2026, 10:00 AM CEST</t>
        </is>
      </c>
      <c r="H15" s="7" t="inlineStr">
        <is>
          <t>Online</t>
        </is>
      </c>
      <c r="I15" s="7" t="inlineStr">
        <is>
          <t>Livestorm</t>
        </is>
      </c>
      <c r="J15" s="7" t="inlineStr">
        <is>
          <t>—</t>
        </is>
      </c>
      <c r="K15" s="7" t="inlineStr">
        <is>
          <t>Online</t>
        </is>
      </c>
      <c r="L15" s="7" t="inlineStr">
        <is>
          <t>Webinar</t>
        </is>
      </c>
      <c r="M15" s="7" t="inlineStr">
        <is>
          <t>Online</t>
        </is>
      </c>
      <c r="N15" s="7" t="inlineStr">
        <is>
          <t>DE</t>
        </is>
      </c>
      <c r="O15" s="7" t="inlineStr">
        <is>
          <t>Host</t>
        </is>
      </c>
      <c r="P15" s="7" t="inlineStr">
        <is>
          <t>Past</t>
        </is>
      </c>
      <c r="Q15" s="7" t="inlineStr">
        <is>
          <t>Confirmed</t>
        </is>
      </c>
      <c r="R15" s="7" t="inlineStr">
        <is>
          <t>Adoption fails on friction, not policy — guided buying pitch</t>
        </is>
      </c>
      <c r="S15" s="7" t="inlineStr">
        <is>
          <t>Procurement teams (DACH)</t>
        </is>
      </c>
      <c r="T15" s="7" t="inlineStr">
        <is>
          <t>Not published</t>
        </is>
      </c>
      <c r="U15" s="7" t="inlineStr">
        <is>
          <t>—</t>
        </is>
      </c>
      <c r="V15" s="7" t="inlineStr">
        <is>
          <t>Speakers not published (Patrick Hasse associated via LinkedIn promo — unconfirmed)</t>
        </is>
      </c>
      <c r="W15" s="7" t="inlineStr">
        <is>
          <t>Weekly DE/EN pairing, Apr–May 2026; themes mirror newsroom content pillars</t>
        </is>
      </c>
      <c r="X15" s="7" t="inlineStr">
        <is>
          <t>https://app.livestorm.co/p/b09c2023-a741-415c-a35e-4c92137f1e2b</t>
        </is>
      </c>
    </row>
    <row r="16">
      <c r="A16" s="6" t="n">
        <v>15</v>
      </c>
      <c r="B16" s="6" t="inlineStr">
        <is>
          <t>Radical Simplicity: Why Requesters Will Finally Love Procurement</t>
        </is>
      </c>
      <c r="C16" s="6" t="inlineStr">
        <is>
          <t>Webinar series (DE/EN pairs)</t>
        </is>
      </c>
      <c r="D16" s="6" t="inlineStr">
        <is>
          <t>Own webinar</t>
        </is>
      </c>
      <c r="E16" s="6" t="inlineStr">
        <is>
          <t>Lio</t>
        </is>
      </c>
      <c r="F16" s="6" t="n">
        <v>2026</v>
      </c>
      <c r="G16" s="6" t="inlineStr">
        <is>
          <t>May 7, 2026, 11:00 AM EDT</t>
        </is>
      </c>
      <c r="H16" s="6" t="inlineStr">
        <is>
          <t>Online</t>
        </is>
      </c>
      <c r="I16" s="6" t="inlineStr">
        <is>
          <t>Livestorm</t>
        </is>
      </c>
      <c r="J16" s="6" t="inlineStr">
        <is>
          <t>—</t>
        </is>
      </c>
      <c r="K16" s="6" t="inlineStr">
        <is>
          <t>Online</t>
        </is>
      </c>
      <c r="L16" s="6" t="inlineStr">
        <is>
          <t>Webinar</t>
        </is>
      </c>
      <c r="M16" s="6" t="inlineStr">
        <is>
          <t>Online</t>
        </is>
      </c>
      <c r="N16" s="6" t="inlineStr">
        <is>
          <t>EN</t>
        </is>
      </c>
      <c r="O16" s="6" t="inlineStr">
        <is>
          <t>Host</t>
        </is>
      </c>
      <c r="P16" s="6" t="inlineStr">
        <is>
          <t>Past</t>
        </is>
      </c>
      <c r="Q16" s="6" t="inlineStr">
        <is>
          <t>Confirmed</t>
        </is>
      </c>
      <c r="R16" s="6" t="inlineStr">
        <is>
          <t>Guided buying via AI agents, multi-modal intake, seamless compliance</t>
        </is>
      </c>
      <c r="S16" s="6" t="inlineStr">
        <is>
          <t>Procurement teams &amp; requesters</t>
        </is>
      </c>
      <c r="T16" s="6" t="inlineStr">
        <is>
          <t>Not published</t>
        </is>
      </c>
      <c r="U16" s="6" t="inlineStr">
        <is>
          <t>—</t>
        </is>
      </c>
      <c r="V16" s="6" t="inlineStr">
        <is>
          <t>Speakers not published (Patrick Hasse associated via LinkedIn promo — unconfirmed)</t>
        </is>
      </c>
      <c r="W16" s="6" t="inlineStr">
        <is>
          <t>Weekly DE/EN pairing, Apr–May 2026; themes mirror newsroom content pillars</t>
        </is>
      </c>
      <c r="X16" s="6" t="inlineStr">
        <is>
          <t>https://app.livestorm.co/p/3633ff7d-c15b-4c46-8700-66e1317c5a7d</t>
        </is>
      </c>
    </row>
    <row r="17">
      <c r="A17" s="7" t="n">
        <v>16</v>
      </c>
      <c r="B17" s="7" t="inlineStr">
        <is>
          <t>Von BPO zu Bots: Die Digitalisierung der Procurement Operations</t>
        </is>
      </c>
      <c r="C17" s="7" t="inlineStr">
        <is>
          <t>Webinar series (DE/EN pairs)</t>
        </is>
      </c>
      <c r="D17" s="7" t="inlineStr">
        <is>
          <t>Own webinar</t>
        </is>
      </c>
      <c r="E17" s="7" t="inlineStr">
        <is>
          <t>Lio</t>
        </is>
      </c>
      <c r="F17" s="7" t="n">
        <v>2026</v>
      </c>
      <c r="G17" s="7" t="inlineStr">
        <is>
          <t>May 13, 2026, 2:00 PM CEST</t>
        </is>
      </c>
      <c r="H17" s="7" t="inlineStr">
        <is>
          <t>Online</t>
        </is>
      </c>
      <c r="I17" s="7" t="inlineStr">
        <is>
          <t>Livestorm</t>
        </is>
      </c>
      <c r="J17" s="7" t="inlineStr">
        <is>
          <t>—</t>
        </is>
      </c>
      <c r="K17" s="7" t="inlineStr">
        <is>
          <t>Online</t>
        </is>
      </c>
      <c r="L17" s="7" t="inlineStr">
        <is>
          <t>Webinar</t>
        </is>
      </c>
      <c r="M17" s="7" t="inlineStr">
        <is>
          <t>Online</t>
        </is>
      </c>
      <c r="N17" s="7" t="inlineStr">
        <is>
          <t>DE</t>
        </is>
      </c>
      <c r="O17" s="7" t="inlineStr">
        <is>
          <t>Host</t>
        </is>
      </c>
      <c r="P17" s="7" t="inlineStr">
        <is>
          <t>Past</t>
        </is>
      </c>
      <c r="Q17" s="7" t="inlineStr">
        <is>
          <t>Confirmed</t>
        </is>
      </c>
      <c r="R17" s="7" t="inlineStr">
        <is>
          <t>Claim: up to 90% of operational procurement processes can run autonomously</t>
        </is>
      </c>
      <c r="S17" s="7" t="inlineStr">
        <is>
          <t>Procurement-operations &amp; GBS leaders (DACH)</t>
        </is>
      </c>
      <c r="T17" s="7" t="inlineStr">
        <is>
          <t>Not published</t>
        </is>
      </c>
      <c r="U17" s="7" t="inlineStr">
        <is>
          <t>—</t>
        </is>
      </c>
      <c r="V17" s="7" t="inlineStr">
        <is>
          <t>Speakers not published (Patrick Hasse associated via LinkedIn promo — unconfirmed)</t>
        </is>
      </c>
      <c r="W17" s="7" t="inlineStr">
        <is>
          <t>Weekly DE/EN pairing, Apr–May 2026; themes mirror newsroom content pillars</t>
        </is>
      </c>
      <c r="X17" s="7" t="inlineStr">
        <is>
          <t>https://app.livestorm.co/lio/de-bpo-to-bots-fully-digital-procurement-operations</t>
        </is>
      </c>
    </row>
    <row r="18">
      <c r="A18" s="6" t="n">
        <v>17</v>
      </c>
      <c r="B18" s="6" t="inlineStr">
        <is>
          <t>BPO to Bots: Fully Digital Procurement Operations</t>
        </is>
      </c>
      <c r="C18" s="6" t="inlineStr">
        <is>
          <t>Webinar series (DE/EN pairs)</t>
        </is>
      </c>
      <c r="D18" s="6" t="inlineStr">
        <is>
          <t>Own webinar</t>
        </is>
      </c>
      <c r="E18" s="6" t="inlineStr">
        <is>
          <t>Lio</t>
        </is>
      </c>
      <c r="F18" s="6" t="n">
        <v>2026</v>
      </c>
      <c r="G18" s="6" t="inlineStr">
        <is>
          <t>May 14, 2026, 11:00 AM EDT</t>
        </is>
      </c>
      <c r="H18" s="6" t="inlineStr">
        <is>
          <t>Online</t>
        </is>
      </c>
      <c r="I18" s="6" t="inlineStr">
        <is>
          <t>Livestorm</t>
        </is>
      </c>
      <c r="J18" s="6" t="inlineStr">
        <is>
          <t>—</t>
        </is>
      </c>
      <c r="K18" s="6" t="inlineStr">
        <is>
          <t>Online</t>
        </is>
      </c>
      <c r="L18" s="6" t="inlineStr">
        <is>
          <t>Webinar</t>
        </is>
      </c>
      <c r="M18" s="6" t="inlineStr">
        <is>
          <t>Online</t>
        </is>
      </c>
      <c r="N18" s="6" t="inlineStr">
        <is>
          <t>EN</t>
        </is>
      </c>
      <c r="O18" s="6" t="inlineStr">
        <is>
          <t>Host</t>
        </is>
      </c>
      <c r="P18" s="6" t="inlineStr">
        <is>
          <t>Past</t>
        </is>
      </c>
      <c r="Q18" s="6" t="inlineStr">
        <is>
          <t>Confirmed</t>
        </is>
      </c>
      <c r="R18" s="6" t="inlineStr">
        <is>
          <t>Replacing BPO-run PR-to-PO execution with agents</t>
        </is>
      </c>
      <c r="S18" s="6" t="inlineStr">
        <is>
          <t>Teams using BPOs for PR-to-PO execution</t>
        </is>
      </c>
      <c r="T18" s="6" t="inlineStr">
        <is>
          <t>Not published</t>
        </is>
      </c>
      <c r="U18" s="6" t="inlineStr">
        <is>
          <t>—</t>
        </is>
      </c>
      <c r="V18" s="6" t="inlineStr">
        <is>
          <t>Speakers not published (Patrick Hasse associated via LinkedIn promo — unconfirmed)</t>
        </is>
      </c>
      <c r="W18" s="6" t="inlineStr">
        <is>
          <t>Weekly DE/EN pairing, Apr–May 2026; themes mirror newsroom content pillars</t>
        </is>
      </c>
      <c r="X18" s="6" t="inlineStr">
        <is>
          <t>https://app.livestorm.co/p/1a009300-3a51-4518-8262-ae6745b7ccc9</t>
        </is>
      </c>
    </row>
    <row r="19">
      <c r="A19" s="7" t="n">
        <v>18</v>
      </c>
      <c r="B19" s="7" t="inlineStr">
        <is>
          <t>Verschwendetes Sparpotential: Wie Autonome Agenten Abhilfe schaffen</t>
        </is>
      </c>
      <c r="C19" s="7" t="inlineStr">
        <is>
          <t>Webinar series (DE/EN pairs)</t>
        </is>
      </c>
      <c r="D19" s="7" t="inlineStr">
        <is>
          <t>Own webinar</t>
        </is>
      </c>
      <c r="E19" s="7" t="inlineStr">
        <is>
          <t>Lio</t>
        </is>
      </c>
      <c r="F19" s="7" t="n">
        <v>2026</v>
      </c>
      <c r="G19" s="7" t="inlineStr">
        <is>
          <t>May 20, 2026, 2:00 PM CEST</t>
        </is>
      </c>
      <c r="H19" s="7" t="inlineStr">
        <is>
          <t>Online</t>
        </is>
      </c>
      <c r="I19" s="7" t="inlineStr">
        <is>
          <t>Livestorm</t>
        </is>
      </c>
      <c r="J19" s="7" t="inlineStr">
        <is>
          <t>—</t>
        </is>
      </c>
      <c r="K19" s="7" t="inlineStr">
        <is>
          <t>Online</t>
        </is>
      </c>
      <c r="L19" s="7" t="inlineStr">
        <is>
          <t>Webinar</t>
        </is>
      </c>
      <c r="M19" s="7" t="inlineStr">
        <is>
          <t>Online</t>
        </is>
      </c>
      <c r="N19" s="7" t="inlineStr">
        <is>
          <t>DE</t>
        </is>
      </c>
      <c r="O19" s="7" t="inlineStr">
        <is>
          <t>Host</t>
        </is>
      </c>
      <c r="P19" s="7" t="inlineStr">
        <is>
          <t>Past</t>
        </is>
      </c>
      <c r="Q19" s="7" t="inlineStr">
        <is>
          <t>Confirmed</t>
        </is>
      </c>
      <c r="R19" s="7" t="inlineStr">
        <is>
          <t>Structure, discipline, measurable ROI on tail spend without headcount</t>
        </is>
      </c>
      <c r="S19" s="7" t="inlineStr">
        <is>
          <t>Tail-spend-focused procurement teams (DACH)</t>
        </is>
      </c>
      <c r="T19" s="7" t="inlineStr">
        <is>
          <t>Not published</t>
        </is>
      </c>
      <c r="U19" s="7" t="inlineStr">
        <is>
          <t>—</t>
        </is>
      </c>
      <c r="V19" s="7" t="inlineStr">
        <is>
          <t>Speakers not published (Patrick Hasse associated via LinkedIn promo — unconfirmed)</t>
        </is>
      </c>
      <c r="W19" s="7" t="inlineStr">
        <is>
          <t>Weekly DE/EN pairing, Apr–May 2026; themes mirror newsroom content pillars</t>
        </is>
      </c>
      <c r="X19" s="7" t="inlineStr">
        <is>
          <t>https://app.livestorm.co/p/8dc35a25-aba4-4d30-944f-818770a099b7</t>
        </is>
      </c>
    </row>
    <row r="20">
      <c r="A20" s="6" t="n">
        <v>19</v>
      </c>
      <c r="B20" s="6" t="inlineStr">
        <is>
          <t>Stop Leaking Savings: Autonomous Negotiation at Scale</t>
        </is>
      </c>
      <c r="C20" s="6" t="inlineStr">
        <is>
          <t>Webinar series (DE/EN pairs)</t>
        </is>
      </c>
      <c r="D20" s="6" t="inlineStr">
        <is>
          <t>Own webinar</t>
        </is>
      </c>
      <c r="E20" s="6" t="inlineStr">
        <is>
          <t>Lio</t>
        </is>
      </c>
      <c r="F20" s="6" t="n">
        <v>2026</v>
      </c>
      <c r="G20" s="6" t="inlineStr">
        <is>
          <t>May 21, 2026, 11:00 AM EST</t>
        </is>
      </c>
      <c r="H20" s="6" t="inlineStr">
        <is>
          <t>Online</t>
        </is>
      </c>
      <c r="I20" s="6" t="inlineStr">
        <is>
          <t>Livestorm</t>
        </is>
      </c>
      <c r="J20" s="6" t="inlineStr">
        <is>
          <t>—</t>
        </is>
      </c>
      <c r="K20" s="6" t="inlineStr">
        <is>
          <t>Online</t>
        </is>
      </c>
      <c r="L20" s="6" t="inlineStr">
        <is>
          <t>Webinar</t>
        </is>
      </c>
      <c r="M20" s="6" t="inlineStr">
        <is>
          <t>Online</t>
        </is>
      </c>
      <c r="N20" s="6" t="inlineStr">
        <is>
          <t>EN</t>
        </is>
      </c>
      <c r="O20" s="6" t="inlineStr">
        <is>
          <t>Host</t>
        </is>
      </c>
      <c r="P20" s="6" t="inlineStr">
        <is>
          <t>Past</t>
        </is>
      </c>
      <c r="Q20" s="6" t="inlineStr">
        <is>
          <t>Confirmed</t>
        </is>
      </c>
      <c r="R20" s="6" t="inlineStr">
        <is>
          <t>AI negotiation agents on tail spend</t>
        </is>
      </c>
      <c r="S20" s="6" t="inlineStr">
        <is>
          <t>Procurement &amp; negotiation leaders</t>
        </is>
      </c>
      <c r="T20" s="6" t="inlineStr">
        <is>
          <t>Not published</t>
        </is>
      </c>
      <c r="U20" s="6" t="inlineStr">
        <is>
          <t>—</t>
        </is>
      </c>
      <c r="V20" s="6" t="inlineStr">
        <is>
          <t>Speakers not published (Patrick Hasse associated via LinkedIn promo — unconfirmed)</t>
        </is>
      </c>
      <c r="W20" s="6" t="inlineStr">
        <is>
          <t>Weekly DE/EN pairing, Apr–May 2026; themes mirror newsroom content pillars</t>
        </is>
      </c>
      <c r="X20" s="6" t="inlineStr">
        <is>
          <t>https://lio.ai/events (Livestorm page now 404)</t>
        </is>
      </c>
    </row>
    <row r="21">
      <c r="A21" s="7" t="n">
        <v>20</v>
      </c>
      <c r="B21" s="7" t="inlineStr">
        <is>
          <t>Y Combinator S23 batch + Demo Day</t>
        </is>
      </c>
      <c r="C21" s="7" t="inlineStr">
        <is>
          <t>—</t>
        </is>
      </c>
      <c r="D21" s="7" t="inlineStr">
        <is>
          <t>Accelerator / program</t>
        </is>
      </c>
      <c r="E21" s="7" t="inlineStr">
        <is>
          <t>Y Combinator</t>
        </is>
      </c>
      <c r="F21" s="7" t="n">
        <v>2023</v>
      </c>
      <c r="G21" s="7" t="inlineStr">
        <is>
          <t>Jul–Sep 2023 (Demo Day ~early Sep)</t>
        </is>
      </c>
      <c r="H21" s="7" t="inlineStr">
        <is>
          <t>San Francisco</t>
        </is>
      </c>
      <c r="I21" s="7" t="inlineStr">
        <is>
          <t>—</t>
        </is>
      </c>
      <c r="J21" s="7" t="inlineStr">
        <is>
          <t>US</t>
        </is>
      </c>
      <c r="K21" s="7" t="inlineStr">
        <is>
          <t>US</t>
        </is>
      </c>
      <c r="L21" s="7" t="inlineStr">
        <is>
          <t>Accelerator + demo day</t>
        </is>
      </c>
      <c r="M21" s="7" t="inlineStr">
        <is>
          <t>Hybrid</t>
        </is>
      </c>
      <c r="N21" s="7" t="inlineStr">
        <is>
          <t>EN</t>
        </is>
      </c>
      <c r="O21" s="7" t="inlineStr">
        <is>
          <t>Batch company / pitching startup</t>
        </is>
      </c>
      <c r="P21" s="7" t="inlineStr">
        <is>
          <t>Past</t>
        </is>
      </c>
      <c r="Q21" s="7" t="inlineStr">
        <is>
          <t>Confirmed (batch); Demo Day inferred</t>
        </is>
      </c>
      <c r="R21" s="7" t="inlineStr">
        <is>
          <t>Launched as 'askLio – AI-Copilot for procurement teams'</t>
        </is>
      </c>
      <c r="S21" s="7" t="inlineStr">
        <is>
          <t>YC investor network</t>
        </is>
      </c>
      <c r="T21" s="7" t="inlineStr">
        <is>
          <t>—</t>
        </is>
      </c>
      <c r="U21" s="7" t="inlineStr">
        <is>
          <t>—</t>
        </is>
      </c>
      <c r="V21" s="7" t="inlineStr">
        <is>
          <t>Founders</t>
        </is>
      </c>
      <c r="W21" s="7" t="inlineStr">
        <is>
          <t>Origin of the YC + SV credibility layer</t>
        </is>
      </c>
      <c r="X21" s="7" t="inlineStr">
        <is>
          <t>https://www.ycombinator.com/companies/lio</t>
        </is>
      </c>
    </row>
    <row r="22">
      <c r="A22" s="6" t="n">
        <v>21</v>
      </c>
      <c r="B22" s="6" t="inlineStr">
        <is>
          <t>Digital-Gipfel 2023 — Gründungswettbewerb 'Digitale Innovationen'</t>
        </is>
      </c>
      <c r="C22" s="6" t="inlineStr">
        <is>
          <t>—</t>
        </is>
      </c>
      <c r="D22" s="6" t="inlineStr">
        <is>
          <t>Award / recognition</t>
        </is>
      </c>
      <c r="E22" s="6" t="inlineStr">
        <is>
          <t>BMWK (German Federal Ministry for Economic Affairs)</t>
        </is>
      </c>
      <c r="F22" s="6" t="n">
        <v>2023</v>
      </c>
      <c r="G22" s="6" t="inlineStr">
        <is>
          <t>Nov 20, 2023</t>
        </is>
      </c>
      <c r="H22" s="6" t="inlineStr">
        <is>
          <t>Jena</t>
        </is>
      </c>
      <c r="I22" s="6" t="inlineStr">
        <is>
          <t>—</t>
        </is>
      </c>
      <c r="J22" s="6" t="inlineStr">
        <is>
          <t>DE</t>
        </is>
      </c>
      <c r="K22" s="6" t="inlineStr">
        <is>
          <t>DACH</t>
        </is>
      </c>
      <c r="L22" s="6" t="inlineStr">
        <is>
          <t>Award ceremony at national digital summit</t>
        </is>
      </c>
      <c r="M22" s="6" t="inlineStr">
        <is>
          <t>In-person</t>
        </is>
      </c>
      <c r="N22" s="6" t="inlineStr">
        <is>
          <t>DE</t>
        </is>
      </c>
      <c r="O22" s="6" t="inlineStr">
        <is>
          <t>Award winner (Gründungspreis, €7,000)</t>
        </is>
      </c>
      <c r="P22" s="6" t="inlineStr">
        <is>
          <t>Past</t>
        </is>
      </c>
      <c r="Q22" s="6" t="inlineStr">
        <is>
          <t>Confirmed</t>
        </is>
      </c>
      <c r="R22" s="6" t="inlineStr">
        <is>
          <t>Federal startup prize for digital innovations; 21 teams honored, Minister Habeck presided</t>
        </is>
      </c>
      <c r="S22" s="6" t="inlineStr">
        <is>
          <t>Government, ecosystem, corporates</t>
        </is>
      </c>
      <c r="T22" s="6" t="inlineStr">
        <is>
          <t>—</t>
        </is>
      </c>
      <c r="U22" s="6" t="inlineStr">
        <is>
          <t>—</t>
        </is>
      </c>
      <c r="V22" s="6" t="inlineStr">
        <is>
          <t>Vladimir Keil</t>
        </is>
      </c>
      <c r="W22" s="6" t="inlineStr">
        <is>
          <t>'askLio (YC S23) is now officially awarded by the german government' — early legitimacy in DE</t>
        </is>
      </c>
      <c r="X22" s="6" t="inlineStr">
        <is>
          <t>https://www.bundeswirtschaftsministerium.de/Redaktion/DE/Pressemitteilungen/2023/11/20231120-ueber-300000-euro-fuer-21-innovative-start-ups.html</t>
        </is>
      </c>
    </row>
    <row r="23">
      <c r="A23" s="7" t="n">
        <v>22</v>
      </c>
      <c r="B23" s="7" t="inlineStr">
        <is>
          <t>Procurement Summit 2024</t>
        </is>
      </c>
      <c r="C23" s="7" t="inlineStr">
        <is>
          <t>Procurement Summit Hamburg</t>
        </is>
      </c>
      <c r="D23" s="7" t="inlineStr">
        <is>
          <t>Speaker / thought leadership</t>
        </is>
      </c>
      <c r="E23" s="7" t="inlineStr">
        <is>
          <t>Procurement Summit</t>
        </is>
      </c>
      <c r="F23" s="7" t="n">
        <v>2024</v>
      </c>
      <c r="G23" s="7" t="inlineStr">
        <is>
          <t>Jun 12–13, 2024</t>
        </is>
      </c>
      <c r="H23" s="7" t="inlineStr">
        <is>
          <t>Hamburg</t>
        </is>
      </c>
      <c r="I23" s="7" t="inlineStr">
        <is>
          <t>Schuppen 52</t>
        </is>
      </c>
      <c r="J23" s="7" t="inlineStr">
        <is>
          <t>DE</t>
        </is>
      </c>
      <c r="K23" s="7" t="inlineStr">
        <is>
          <t>DACH</t>
        </is>
      </c>
      <c r="L23" s="7" t="inlineStr">
        <is>
          <t>Trade fair + conference</t>
        </is>
      </c>
      <c r="M23" s="7" t="inlineStr">
        <is>
          <t>In-person</t>
        </is>
      </c>
      <c r="N23" s="7" t="inlineStr">
        <is>
          <t>DE</t>
        </is>
      </c>
      <c r="O23" s="7" t="inlineStr">
        <is>
          <t>Speaker (2 sessions incl. Matterhorn Masterclass)</t>
        </is>
      </c>
      <c r="P23" s="7" t="inlineStr">
        <is>
          <t>Past</t>
        </is>
      </c>
      <c r="Q23" s="7" t="inlineStr">
        <is>
          <t>Confirmed</t>
        </is>
      </c>
      <c r="R23" s="7" t="inlineStr">
        <is>
          <t>German procurement innovation fair</t>
        </is>
      </c>
      <c r="S23" s="7" t="inlineStr">
        <is>
          <t>German procurement pros; Mittelstand + enterprise</t>
        </is>
      </c>
      <c r="T23" s="7" t="inlineStr">
        <is>
          <t>~2,000 (2,300 by 2026)</t>
        </is>
      </c>
      <c r="U23" s="7" t="inlineStr">
        <is>
          <t>—</t>
        </is>
      </c>
      <c r="V23" s="7" t="inlineStr">
        <is>
          <t>Vladimir Keil</t>
        </is>
      </c>
      <c r="W23" s="7" t="inlineStr">
        <is>
          <t>Sessions: 'askLio: the AI copilot…' + 'AI managers vs. humans — who will be the buyers of the future?'</t>
        </is>
      </c>
      <c r="X23" s="7" t="inlineStr">
        <is>
          <t>https://procurementsummit.eu/speaker/vladimir-keil</t>
        </is>
      </c>
    </row>
    <row r="24">
      <c r="A24" s="6" t="n">
        <v>23</v>
      </c>
      <c r="B24" s="6" t="inlineStr">
        <is>
          <t>Websession 'KI im Einkauf' (Beschaffung aktuell)</t>
        </is>
      </c>
      <c r="C24" s="6" t="inlineStr">
        <is>
          <t>—</t>
        </is>
      </c>
      <c r="D24" s="6" t="inlineStr">
        <is>
          <t>Speaker / thought leadership</t>
        </is>
      </c>
      <c r="E24" s="6" t="inlineStr">
        <is>
          <t>Konradin / Beschaffung aktuell</t>
        </is>
      </c>
      <c r="F24" s="6" t="n">
        <v>2024</v>
      </c>
      <c r="G24" s="6" t="inlineStr">
        <is>
          <t>Jun 18, 2024</t>
        </is>
      </c>
      <c r="H24" s="6" t="inlineStr">
        <is>
          <t>Online</t>
        </is>
      </c>
      <c r="I24" s="6" t="inlineStr">
        <is>
          <t>—</t>
        </is>
      </c>
      <c r="J24" s="6" t="inlineStr">
        <is>
          <t>DE</t>
        </is>
      </c>
      <c r="K24" s="6" t="inlineStr">
        <is>
          <t>Online</t>
        </is>
      </c>
      <c r="L24" s="6" t="inlineStr">
        <is>
          <t>Multi-vendor webinar</t>
        </is>
      </c>
      <c r="M24" s="6" t="inlineStr">
        <is>
          <t>Online</t>
        </is>
      </c>
      <c r="N24" s="6" t="inlineStr">
        <is>
          <t>DE</t>
        </is>
      </c>
      <c r="O24" s="6" t="inlineStr">
        <is>
          <t>Presenting vendor (1 of 6)</t>
        </is>
      </c>
      <c r="P24" s="6" t="inlineStr">
        <is>
          <t>Past</t>
        </is>
      </c>
      <c r="Q24" s="6" t="inlineStr">
        <is>
          <t>Confirmed</t>
        </is>
      </c>
      <c r="R24" s="6" t="inlineStr">
        <is>
          <t>AI-in-procurement vendor showcase</t>
        </is>
      </c>
      <c r="S24" s="6" t="inlineStr">
        <is>
          <t>German procurement/SCM professionals</t>
        </is>
      </c>
      <c r="T24" s="6" t="inlineStr">
        <is>
          <t>—</t>
        </is>
      </c>
      <c r="U24" s="6" t="inlineStr">
        <is>
          <t>Co-presenters: Coupa, Matchory, Mercanis, Crowdfox, Xometry</t>
        </is>
      </c>
      <c r="V24" s="6" t="inlineStr">
        <is>
          <t>Vladimir Keil</t>
        </is>
      </c>
      <c r="W24" s="6" t="inlineStr">
        <is>
          <t>Session: 'KI gesteuerte Einkäufer vs. Menschen – wer sind die Einkäufer der Zukunft?'</t>
        </is>
      </c>
      <c r="X24" s="6" t="inlineStr">
        <is>
          <t>https://beschaffung-aktuell.industrie.de/websession-ki-im-einkauf/</t>
        </is>
      </c>
    </row>
    <row r="25">
      <c r="A25" s="7" t="n">
        <v>24</v>
      </c>
      <c r="B25" s="7" t="inlineStr">
        <is>
          <t>59. BME-Symposium Einkauf und Logistik 2024 — BME Procurement Excellence Award</t>
        </is>
      </c>
      <c r="C25" s="7" t="inlineStr">
        <is>
          <t>BME</t>
        </is>
      </c>
      <c r="D25" s="7" t="inlineStr">
        <is>
          <t>Award / recognition</t>
        </is>
      </c>
      <c r="E25" s="7" t="inlineStr">
        <is>
          <t>BME e.V.</t>
        </is>
      </c>
      <c r="F25" s="7" t="n">
        <v>2024</v>
      </c>
      <c r="G25" s="7" t="inlineStr">
        <is>
          <t>Nov 13–15, 2024 (award Nov 13)</t>
        </is>
      </c>
      <c r="H25" s="7" t="inlineStr">
        <is>
          <t>Berlin</t>
        </is>
      </c>
      <c r="I25" s="7" t="inlineStr">
        <is>
          <t>STATION Berlin</t>
        </is>
      </c>
      <c r="J25" s="7" t="inlineStr">
        <is>
          <t>DE</t>
        </is>
      </c>
      <c r="K25" s="7" t="inlineStr">
        <is>
          <t>DACH</t>
        </is>
      </c>
      <c r="L25" s="7" t="inlineStr">
        <is>
          <t>Congress + award ceremony</t>
        </is>
      </c>
      <c r="M25" s="7" t="inlineStr">
        <is>
          <t>In-person</t>
        </is>
      </c>
      <c r="N25" s="7" t="inlineStr">
        <is>
          <t>DE</t>
        </is>
      </c>
      <c r="O25" s="7" t="inlineStr">
        <is>
          <t>Technology provider behind award winner (REHAU)</t>
        </is>
      </c>
      <c r="P25" s="7" t="inlineStr">
        <is>
          <t>Past</t>
        </is>
      </c>
      <c r="Q25" s="7" t="inlineStr">
        <is>
          <t>Confirmed</t>
        </is>
      </c>
      <c r="R25" s="7" t="inlineStr">
        <is>
          <t>Germany's flagship procurement congress</t>
        </is>
      </c>
      <c r="S25" s="7" t="inlineStr">
        <is>
          <t>~1,500 participants, 190 speakers, 120 exhibitors/sponsors</t>
        </is>
      </c>
      <c r="T25" s="7" t="inlineStr">
        <is>
          <t>~1,500</t>
        </is>
      </c>
      <c r="U25" s="7" t="inlineStr">
        <is>
          <t>REHAU (award winner, Großunternehmen 2024)</t>
        </is>
      </c>
      <c r="V25" s="7" t="inlineStr">
        <is>
          <t>—</t>
        </is>
      </c>
      <c r="W25" s="7" t="inlineStr">
        <is>
          <t>REHAU won for 'Sourcing Suite with integrated Gen AI' built on askLio; reported value 4.5x cost, rollout to 150+ locations</t>
        </is>
      </c>
      <c r="X25" s="7" t="inlineStr">
        <is>
          <t>https://www.bme.de/news/mit-ki-zur-prozessoptimierung:-rehau-erhaelt-den-bme-procurement-excellence-award-grossunternehmen-2024/</t>
        </is>
      </c>
    </row>
    <row r="26">
      <c r="A26" s="6" t="n">
        <v>25</v>
      </c>
      <c r="B26" s="6" t="inlineStr">
        <is>
          <t>BME eLösungstage 2025 (16th)</t>
        </is>
      </c>
      <c r="C26" s="6" t="inlineStr">
        <is>
          <t>BME</t>
        </is>
      </c>
      <c r="D26" s="6" t="inlineStr">
        <is>
          <t>Sponsorship / exhibition</t>
        </is>
      </c>
      <c r="E26" s="6" t="inlineStr">
        <is>
          <t>BME e.V.</t>
        </is>
      </c>
      <c r="F26" s="6" t="n">
        <v>2025</v>
      </c>
      <c r="G26" s="6" t="inlineStr">
        <is>
          <t>May 13–14, 2025</t>
        </is>
      </c>
      <c r="H26" s="6" t="inlineStr">
        <is>
          <t>Düsseldorf</t>
        </is>
      </c>
      <c r="I26" s="6" t="inlineStr">
        <is>
          <t>Areal Böhler</t>
        </is>
      </c>
      <c r="J26" s="6" t="inlineStr">
        <is>
          <t>DE</t>
        </is>
      </c>
      <c r="K26" s="6" t="inlineStr">
        <is>
          <t>DACH</t>
        </is>
      </c>
      <c r="L26" s="6" t="inlineStr">
        <is>
          <t>Trade fair / congress</t>
        </is>
      </c>
      <c r="M26" s="6" t="inlineStr">
        <is>
          <t>In-person</t>
        </is>
      </c>
      <c r="N26" s="6" t="inlineStr">
        <is>
          <t>DE</t>
        </is>
      </c>
      <c r="O26" s="6" t="inlineStr">
        <is>
          <t>Exhibitor (Booth 13)</t>
        </is>
      </c>
      <c r="P26" s="6" t="inlineStr">
        <is>
          <t>Past</t>
        </is>
      </c>
      <c r="Q26" s="6" t="inlineStr">
        <is>
          <t>Confirmed</t>
        </is>
      </c>
      <c r="R26" s="6" t="inlineStr">
        <is>
          <t>Largest DACH procurement-digitalization event; #skillup4digital, AI front and center</t>
        </is>
      </c>
      <c r="S26" s="6" t="inlineStr">
        <is>
          <t>~1,000 participants; heads of procurement, e-procurement/digitalization leads; Mittelstand to DAX</t>
        </is>
      </c>
      <c r="T26" s="6" t="inlineStr">
        <is>
          <t>~1,000</t>
        </is>
      </c>
      <c r="U26" s="6" t="inlineStr">
        <is>
          <t>—</t>
        </is>
      </c>
      <c r="V26" s="6" t="inlineStr">
        <is>
          <t>—</t>
        </is>
      </c>
      <c r="W26" s="6" t="inlineStr">
        <is>
          <t>askLio-era booth; a May 2025 Instagram post hints at an invite-only CPO-track dinner (unattributed — possible Principals precursor)</t>
        </is>
      </c>
      <c r="X26" s="6" t="inlineStr">
        <is>
          <t>https://a.storyblok.com/f/104752/x/e05672b3f1/bme_eloesungstage-2025_v4.pdf</t>
        </is>
      </c>
    </row>
    <row r="27">
      <c r="A27" s="7" t="n">
        <v>26</v>
      </c>
      <c r="B27" s="7" t="inlineStr">
        <is>
          <t>Procurement Summit 2025</t>
        </is>
      </c>
      <c r="C27" s="7" t="inlineStr">
        <is>
          <t>Procurement Summit Hamburg</t>
        </is>
      </c>
      <c r="D27" s="7" t="inlineStr">
        <is>
          <t>Speaker / thought leadership</t>
        </is>
      </c>
      <c r="E27" s="7" t="inlineStr">
        <is>
          <t>Procurement Summit</t>
        </is>
      </c>
      <c r="F27" s="7" t="n">
        <v>2025</v>
      </c>
      <c r="G27" s="7" t="inlineStr">
        <is>
          <t>Jun 25–26, 2025</t>
        </is>
      </c>
      <c r="H27" s="7" t="inlineStr">
        <is>
          <t>Hamburg</t>
        </is>
      </c>
      <c r="I27" s="7" t="inlineStr">
        <is>
          <t>Schuppen 52</t>
        </is>
      </c>
      <c r="J27" s="7" t="inlineStr">
        <is>
          <t>DE</t>
        </is>
      </c>
      <c r="K27" s="7" t="inlineStr">
        <is>
          <t>DACH</t>
        </is>
      </c>
      <c r="L27" s="7" t="inlineStr">
        <is>
          <t>Trade fair + conference</t>
        </is>
      </c>
      <c r="M27" s="7" t="inlineStr">
        <is>
          <t>In-person</t>
        </is>
      </c>
      <c r="N27" s="7" t="inlineStr">
        <is>
          <t>DE</t>
        </is>
      </c>
      <c r="O27" s="7" t="inlineStr">
        <is>
          <t>Speaker + live demo</t>
        </is>
      </c>
      <c r="P27" s="7" t="inlineStr">
        <is>
          <t>Past</t>
        </is>
      </c>
      <c r="Q27" s="7" t="inlineStr">
        <is>
          <t>Confirmed</t>
        </is>
      </c>
      <c r="R27" s="7" t="inlineStr">
        <is>
          <t>German procurement innovation fair</t>
        </is>
      </c>
      <c r="S27" s="7" t="inlineStr">
        <is>
          <t>German procurement pros</t>
        </is>
      </c>
      <c r="T27" s="7" t="inlineStr">
        <is>
          <t>~2,000+</t>
        </is>
      </c>
      <c r="U27" s="7" t="inlineStr">
        <is>
          <t>—</t>
        </is>
      </c>
      <c r="V27" s="7" t="inlineStr">
        <is>
          <t>Vladimir Keil</t>
        </is>
      </c>
      <c r="W27" s="7" t="inlineStr">
        <is>
          <t>'AI Agents vs. Humans – What Will the Most Efficient Procurement Teams of the Future Look Like?' + live askLio agent demo</t>
        </is>
      </c>
      <c r="X27" s="7" t="inlineStr">
        <is>
          <t>https://procurementsummit.eu/speaker/vladimir-keil</t>
        </is>
      </c>
    </row>
    <row r="28">
      <c r="A28" s="6" t="n">
        <v>27</v>
      </c>
      <c r="B28" s="6" t="inlineStr">
        <is>
          <t>Sustainability Summit Hamburg</t>
        </is>
      </c>
      <c r="C28" s="6" t="inlineStr">
        <is>
          <t>—</t>
        </is>
      </c>
      <c r="D28" s="6" t="inlineStr">
        <is>
          <t>Speaker / thought leadership</t>
        </is>
      </c>
      <c r="E28" s="6" t="inlineStr">
        <is>
          <t>Sustainability Summit</t>
        </is>
      </c>
      <c r="F28" s="6" t="n">
        <v>2025</v>
      </c>
      <c r="G28" s="6" t="inlineStr">
        <is>
          <t>2025/2026 edition (year unclear)</t>
        </is>
      </c>
      <c r="H28" s="6" t="inlineStr">
        <is>
          <t>Hamburg</t>
        </is>
      </c>
      <c r="I28" s="6" t="inlineStr">
        <is>
          <t>Millerntor-Stadion</t>
        </is>
      </c>
      <c r="J28" s="6" t="inlineStr">
        <is>
          <t>DE</t>
        </is>
      </c>
      <c r="K28" s="6" t="inlineStr">
        <is>
          <t>DACH</t>
        </is>
      </c>
      <c r="L28" s="6" t="inlineStr">
        <is>
          <t>Conference</t>
        </is>
      </c>
      <c r="M28" s="6" t="inlineStr">
        <is>
          <t>In-person</t>
        </is>
      </c>
      <c r="N28" s="6" t="inlineStr">
        <is>
          <t>DE</t>
        </is>
      </c>
      <c r="O28" s="6" t="inlineStr">
        <is>
          <t>Speaker (Matterhorn Masterclass; askLio-branded profile)</t>
        </is>
      </c>
      <c r="P28" s="6" t="inlineStr">
        <is>
          <t>Past</t>
        </is>
      </c>
      <c r="Q28" s="6" t="inlineStr">
        <is>
          <t>Unconfirmed</t>
        </is>
      </c>
      <c r="R28" s="6" t="inlineStr">
        <is>
          <t>Sustainability sister event of Procurement Summit</t>
        </is>
      </c>
      <c r="S28" s="6" t="inlineStr">
        <is>
          <t>Sustainability + procurement crowd</t>
        </is>
      </c>
      <c r="T28" s="6" t="inlineStr">
        <is>
          <t>—</t>
        </is>
      </c>
      <c r="U28" s="6" t="inlineStr">
        <is>
          <t>—</t>
        </is>
      </c>
      <c r="V28" s="6" t="inlineStr">
        <is>
          <t>Vladimir Keil</t>
        </is>
      </c>
      <c r="W28" s="6" t="inlineStr">
        <is>
          <t>Speaker page now removed (404) — indexed only</t>
        </is>
      </c>
      <c r="X28" s="6" t="inlineStr">
        <is>
          <t>https://sustainabilitysummit.de/speaker/vladimir-keil-1 (offline)</t>
        </is>
      </c>
    </row>
    <row r="29">
      <c r="A29" s="7" t="n">
        <v>28</v>
      </c>
      <c r="B29" s="7" t="inlineStr">
        <is>
          <t>DPW Amsterdam 2025</t>
        </is>
      </c>
      <c r="C29" s="7" t="inlineStr">
        <is>
          <t>DPW</t>
        </is>
      </c>
      <c r="D29" s="7" t="inlineStr">
        <is>
          <t>Award / recognition</t>
        </is>
      </c>
      <c r="E29" s="7" t="inlineStr">
        <is>
          <t>DPW (Digital Procurement World)</t>
        </is>
      </c>
      <c r="F29" s="7" t="n">
        <v>2025</v>
      </c>
      <c r="G29" s="7" t="inlineStr">
        <is>
          <t>Oct 7–9, 2025</t>
        </is>
      </c>
      <c r="H29" s="7" t="inlineStr">
        <is>
          <t>Amsterdam</t>
        </is>
      </c>
      <c r="I29" s="7" t="inlineStr">
        <is>
          <t>Beurs van Berlage</t>
        </is>
      </c>
      <c r="J29" s="7" t="inlineStr">
        <is>
          <t>NL</t>
        </is>
      </c>
      <c r="K29" s="7" t="inlineStr">
        <is>
          <t>EU</t>
        </is>
      </c>
      <c r="L29" s="7" t="inlineStr">
        <is>
          <t>Conference</t>
        </is>
      </c>
      <c r="M29" s="7" t="inlineStr">
        <is>
          <t>Hybrid</t>
        </is>
      </c>
      <c r="N29" s="7" t="inlineStr">
        <is>
          <t>EN</t>
        </is>
      </c>
      <c r="O29" s="7" t="inlineStr">
        <is>
          <t>Sponsor + DPW Growth Stage Award WINNER</t>
        </is>
      </c>
      <c r="P29" s="7" t="inlineStr">
        <is>
          <t>Past</t>
        </is>
      </c>
      <c r="Q29" s="7" t="inlineStr">
        <is>
          <t>Confirmed</t>
        </is>
      </c>
      <c r="R29" s="7" t="inlineStr">
        <is>
          <t>World's leading digital-procurement conference</t>
        </is>
      </c>
      <c r="S29" s="7" t="inlineStr">
        <is>
          <t>1,700+ attendees from 65 countries; CPO/VP/director-heavy; €2,199 GA ticket; startup+VC ecosystem</t>
        </is>
      </c>
      <c r="T29" s="7" t="inlineStr">
        <is>
          <t>1,700+</t>
        </is>
      </c>
      <c r="U29" s="7" t="inlineStr">
        <is>
          <t>Typical attendees incl. Amazon, BASF, Coca-Cola, Google, Siemens, Unilever</t>
        </is>
      </c>
      <c r="V29" s="7" t="inlineStr">
        <is>
          <t>Vladimir Keil (on-site interview with CPOstrategy)</t>
        </is>
      </c>
      <c r="W29" s="7" t="inlineStr">
        <is>
          <t>Growth Stage Award = category for $2–10M ARR vendors; jury of 80+ CPOs; beat 150+ applicants; sponsor listing still 'asklio.ai' (pre-rebrand). KEY ARR SIGNAL.</t>
        </is>
      </c>
      <c r="X29" s="7" t="inlineStr">
        <is>
          <t>https://conference.dpw.ai/about/sponsors-2025/</t>
        </is>
      </c>
    </row>
    <row r="30">
      <c r="A30" s="6" t="n">
        <v>29</v>
      </c>
      <c r="B30" s="6" t="inlineStr">
        <is>
          <t>KonnectHouse 'Agentic AI in Procurement' Frankfurt</t>
        </is>
      </c>
      <c r="C30" s="6" t="inlineStr">
        <is>
          <t>KonnectHouse</t>
        </is>
      </c>
      <c r="D30" s="6" t="inlineStr">
        <is>
          <t>Sponsorship / exhibition</t>
        </is>
      </c>
      <c r="E30" s="6" t="inlineStr">
        <is>
          <t>KonnectHouse</t>
        </is>
      </c>
      <c r="F30" s="6" t="n">
        <v>2026</v>
      </c>
      <c r="G30" s="6" t="inlineStr">
        <is>
          <t>Jan 27, 2026</t>
        </is>
      </c>
      <c r="H30" s="6" t="inlineStr">
        <is>
          <t>Frankfurt</t>
        </is>
      </c>
      <c r="I30" s="6" t="inlineStr">
        <is>
          <t>Kreisler</t>
        </is>
      </c>
      <c r="J30" s="6" t="inlineStr">
        <is>
          <t>DE</t>
        </is>
      </c>
      <c r="K30" s="6" t="inlineStr">
        <is>
          <t>DACH</t>
        </is>
      </c>
      <c r="L30" s="6" t="inlineStr">
        <is>
          <t>1-day summit</t>
        </is>
      </c>
      <c r="M30" s="6" t="inlineStr">
        <is>
          <t>In-person</t>
        </is>
      </c>
      <c r="N30" s="6" t="inlineStr">
        <is>
          <t>EN</t>
        </is>
      </c>
      <c r="O30" s="6" t="inlineStr">
        <is>
          <t>Sponsor + speaker + roundtable host</t>
        </is>
      </c>
      <c r="P30" s="6" t="inlineStr">
        <is>
          <t>Past</t>
        </is>
      </c>
      <c r="Q30" s="6" t="inlineStr">
        <is>
          <t>Confirmed</t>
        </is>
      </c>
      <c r="R30" s="6" t="inlineStr">
        <is>
          <t>Agentic AI in procurement summit</t>
        </is>
      </c>
      <c r="S30" s="6" t="inlineStr">
        <is>
          <t>Procurement digitalization leaders (DACH)</t>
        </is>
      </c>
      <c r="T30" s="6" t="inlineStr">
        <is>
          <t>—</t>
        </is>
      </c>
      <c r="U30" s="6" t="inlineStr">
        <is>
          <t>—</t>
        </is>
      </c>
      <c r="V30" s="6" t="inlineStr">
        <is>
          <t>Vincent Nusmeier (Head of Partnerships)</t>
        </is>
      </c>
      <c r="W30" s="6" t="inlineStr">
        <is>
          <t>3 agenda slots: 10:55 demo, 13:45 main-stage 'Agentic Use Case', 16:45 roundtable; KonnectHouse also published the Walmart Global Tech x askLio partnership piece</t>
        </is>
      </c>
      <c r="X30" s="6" t="inlineStr">
        <is>
          <t>https://www.konnecthouse.com/events/agentic-ai-in-procurement-frankfurt/agenda-frankfurt/</t>
        </is>
      </c>
    </row>
    <row r="31">
      <c r="A31" s="7" t="n">
        <v>30</v>
      </c>
      <c r="B31" s="7" t="inlineStr">
        <is>
          <t>ProcureCon West 2026</t>
        </is>
      </c>
      <c r="C31" s="7" t="inlineStr">
        <is>
          <t>ProcureCon</t>
        </is>
      </c>
      <c r="D31" s="7" t="inlineStr">
        <is>
          <t>Speaker / thought leadership</t>
        </is>
      </c>
      <c r="E31" s="7" t="inlineStr">
        <is>
          <t>WBR (Worldwide Business Research)</t>
        </is>
      </c>
      <c r="F31" s="7" t="n">
        <v>2026</v>
      </c>
      <c r="G31" s="7" t="inlineStr">
        <is>
          <t>Mar 9–11, 2026</t>
        </is>
      </c>
      <c r="H31" s="7" t="inlineStr">
        <is>
          <t>Las Vegas</t>
        </is>
      </c>
      <c r="I31" s="7" t="inlineStr">
        <is>
          <t>JW Marriott Las Vegas</t>
        </is>
      </c>
      <c r="J31" s="7" t="inlineStr">
        <is>
          <t>US</t>
        </is>
      </c>
      <c r="K31" s="7" t="inlineStr">
        <is>
          <t>US</t>
        </is>
      </c>
      <c r="L31" s="7" t="inlineStr">
        <is>
          <t>Conference</t>
        </is>
      </c>
      <c r="M31" s="7" t="inlineStr">
        <is>
          <t>In-person</t>
        </is>
      </c>
      <c r="N31" s="7" t="inlineStr">
        <is>
          <t>EN</t>
        </is>
      </c>
      <c r="O31" s="7" t="inlineStr">
        <is>
          <t>Speaker</t>
        </is>
      </c>
      <c r="P31" s="7" t="inlineStr">
        <is>
          <t>Past</t>
        </is>
      </c>
      <c r="Q31" s="7" t="inlineStr">
        <is>
          <t>Confirmed</t>
        </is>
      </c>
      <c r="R31" s="7" t="inlineStr">
        <is>
          <t>Senior indirect-procurement conference ('for leaders, by leaders')</t>
        </is>
      </c>
      <c r="S31" s="7" t="inlineStr">
        <is>
          <t>CPOs/SVPs/Global Indirect Directors from Fortune 500 (Google, Meta, Caterpillar, BofA, Amazon, United); est. 300–500</t>
        </is>
      </c>
      <c r="T31" s="7" t="inlineStr">
        <is>
          <t>est. 300–500</t>
        </is>
      </c>
      <c r="U31" s="7" t="inlineStr">
        <is>
          <t>Google, Meta, Caterpillar, Bank of America, Amazon, United Airlines, Warner Bros. Discovery (typical)</t>
        </is>
      </c>
      <c r="V31" s="7" t="inlineStr">
        <is>
          <t>Vladimir Keil</t>
        </is>
      </c>
      <c r="W31" s="7" t="inlineStr">
        <is>
          <t>First major US speaker slot of 2026 blitz</t>
        </is>
      </c>
      <c r="X31" s="7" t="inlineStr">
        <is>
          <t>https://procureconwest.wbresearch.com/speakers/vladimir-keil</t>
        </is>
      </c>
    </row>
    <row r="32">
      <c r="A32" s="6" t="n">
        <v>31</v>
      </c>
      <c r="B32" s="6" t="inlineStr">
        <is>
          <t>KonnectHouse 'Agentic AI in Procurement' NYC</t>
        </is>
      </c>
      <c r="C32" s="6" t="inlineStr">
        <is>
          <t>KonnectHouse</t>
        </is>
      </c>
      <c r="D32" s="6" t="inlineStr">
        <is>
          <t>Speaker / thought leadership</t>
        </is>
      </c>
      <c r="E32" s="6" t="inlineStr">
        <is>
          <t>KonnectHouse</t>
        </is>
      </c>
      <c r="F32" s="6" t="n">
        <v>2026</v>
      </c>
      <c r="G32" s="6" t="inlineStr">
        <is>
          <t>Mar 10, 2026</t>
        </is>
      </c>
      <c r="H32" s="6" t="inlineStr">
        <is>
          <t>New York</t>
        </is>
      </c>
      <c r="I32" s="6" t="inlineStr">
        <is>
          <t>Convene Neuehouse</t>
        </is>
      </c>
      <c r="J32" s="6" t="inlineStr">
        <is>
          <t>US</t>
        </is>
      </c>
      <c r="K32" s="6" t="inlineStr">
        <is>
          <t>US</t>
        </is>
      </c>
      <c r="L32" s="6" t="inlineStr">
        <is>
          <t>1-day summit</t>
        </is>
      </c>
      <c r="M32" s="6" t="inlineStr">
        <is>
          <t>In-person</t>
        </is>
      </c>
      <c r="N32" s="6" t="inlineStr">
        <is>
          <t>EN</t>
        </is>
      </c>
      <c r="O32" s="6" t="inlineStr">
        <is>
          <t>Speaker + roundtable host</t>
        </is>
      </c>
      <c r="P32" s="6" t="inlineStr">
        <is>
          <t>Past</t>
        </is>
      </c>
      <c r="Q32" s="6" t="inlineStr">
        <is>
          <t>Confirmed</t>
        </is>
      </c>
      <c r="R32" s="6" t="inlineStr">
        <is>
          <t>Agentic AI in procurement summit (US edition)</t>
        </is>
      </c>
      <c r="S32" s="6" t="inlineStr">
        <is>
          <t>US procurement digitalization leaders</t>
        </is>
      </c>
      <c r="T32" s="6" t="inlineStr">
        <is>
          <t>—</t>
        </is>
      </c>
      <c r="U32" s="6" t="inlineStr">
        <is>
          <t>—</t>
        </is>
      </c>
      <c r="V32" s="6" t="inlineStr">
        <is>
          <t>Vincent Nusmeier</t>
        </is>
      </c>
      <c r="W32" s="6" t="inlineStr">
        <is>
          <t>'Customer Use Case with Lio' 1:30 PM + solution roundtable</t>
        </is>
      </c>
      <c r="X32" s="6" t="inlineStr">
        <is>
          <t>https://www.konnecthouse.com/events/agentic-ai-in-procurement-nyc/agenda-nyc/</t>
        </is>
      </c>
    </row>
    <row r="33">
      <c r="A33" s="7" t="n">
        <v>32</v>
      </c>
      <c r="B33" s="7" t="inlineStr">
        <is>
          <t>World 50 Procurement Accelerator Roundtable</t>
        </is>
      </c>
      <c r="C33" s="7" t="inlineStr">
        <is>
          <t>World 50</t>
        </is>
      </c>
      <c r="D33" s="7" t="inlineStr">
        <is>
          <t>Private roundtable / ABM</t>
        </is>
      </c>
      <c r="E33" s="7" t="inlineStr">
        <is>
          <t>World 50 Group</t>
        </is>
      </c>
      <c r="F33" s="7" t="n">
        <v>2026</v>
      </c>
      <c r="G33" s="7" t="inlineStr">
        <is>
          <t>Mar 11, 2026</t>
        </is>
      </c>
      <c r="H33" s="7" t="inlineStr">
        <is>
          <t>US (on-site)</t>
        </is>
      </c>
      <c r="I33" s="7" t="inlineStr">
        <is>
          <t>—</t>
        </is>
      </c>
      <c r="J33" s="7" t="inlineStr">
        <is>
          <t>US</t>
        </is>
      </c>
      <c r="K33" s="7" t="inlineStr">
        <is>
          <t>US</t>
        </is>
      </c>
      <c r="L33" s="7" t="inlineStr">
        <is>
          <t>Private executive roundtable</t>
        </is>
      </c>
      <c r="M33" s="7" t="inlineStr">
        <is>
          <t>In-person</t>
        </is>
      </c>
      <c r="N33" s="7" t="inlineStr">
        <is>
          <t>EN</t>
        </is>
      </c>
      <c r="O33" s="7" t="inlineStr">
        <is>
          <t>Vetted innovator / participant</t>
        </is>
      </c>
      <c r="P33" s="7" t="inlineStr">
        <is>
          <t>Past</t>
        </is>
      </c>
      <c r="Q33" s="7" t="inlineStr">
        <is>
          <t>Intent (Lio calendar; private community)</t>
        </is>
      </c>
      <c r="R33" s="7" t="inlineStr">
        <is>
          <t>'Vetted innovators connect with progressive employers'</t>
        </is>
      </c>
      <c r="S33" s="7" t="inlineStr">
        <is>
          <t>World 50 network: Fortune 500 procurement executives</t>
        </is>
      </c>
      <c r="T33" s="7" t="inlineStr">
        <is>
          <t>Small private group</t>
        </is>
      </c>
      <c r="U33" s="7" t="inlineStr">
        <is>
          <t>—</t>
        </is>
      </c>
      <c r="V33" s="7" t="inlineStr">
        <is>
          <t>—</t>
        </is>
      </c>
      <c r="W33" s="7" t="inlineStr">
        <is>
          <t>Highest-end private ABM channel in the mix</t>
        </is>
      </c>
      <c r="X33" s="7" t="inlineStr">
        <is>
          <t>https://lio.ai/events</t>
        </is>
      </c>
    </row>
    <row r="34">
      <c r="A34" s="6" t="n">
        <v>33</v>
      </c>
      <c r="B34" s="6" t="inlineStr">
        <is>
          <t>Shared Services &amp; Outsourcing Week (SSOW) 2026 (30th)</t>
        </is>
      </c>
      <c r="C34" s="6" t="inlineStr">
        <is>
          <t>SSON</t>
        </is>
      </c>
      <c r="D34" s="6" t="inlineStr">
        <is>
          <t>Speaker / thought leadership</t>
        </is>
      </c>
      <c r="E34" s="6" t="inlineStr">
        <is>
          <t>SSON / IQPC</t>
        </is>
      </c>
      <c r="F34" s="6" t="n">
        <v>2026</v>
      </c>
      <c r="G34" s="6" t="inlineStr">
        <is>
          <t>Mar 16–19, 2026</t>
        </is>
      </c>
      <c r="H34" s="6" t="inlineStr">
        <is>
          <t>Orlando</t>
        </is>
      </c>
      <c r="I34" s="6" t="inlineStr">
        <is>
          <t>—</t>
        </is>
      </c>
      <c r="J34" s="6" t="inlineStr">
        <is>
          <t>US</t>
        </is>
      </c>
      <c r="K34" s="6" t="inlineStr">
        <is>
          <t>US</t>
        </is>
      </c>
      <c r="L34" s="6" t="inlineStr">
        <is>
          <t>Congress</t>
        </is>
      </c>
      <c r="M34" s="6" t="inlineStr">
        <is>
          <t>In-person</t>
        </is>
      </c>
      <c r="N34" s="6" t="inlineStr">
        <is>
          <t>EN</t>
        </is>
      </c>
      <c r="O34" s="6" t="inlineStr">
        <is>
          <t>Speaker ×2 (Demo Blitz + main program)</t>
        </is>
      </c>
      <c r="P34" s="6" t="inlineStr">
        <is>
          <t>Past</t>
        </is>
      </c>
      <c r="Q34" s="6" t="inlineStr">
        <is>
          <t>Confirmed</t>
        </is>
      </c>
      <c r="R34" s="6" t="inlineStr">
        <is>
          <t>The GBS/SSC/outsourcing world's flagship gathering</t>
        </is>
      </c>
      <c r="S34" s="6" t="inlineStr">
        <is>
          <t>GBS/SSC leaders, BPO buyers, shared-services executives</t>
        </is>
      </c>
      <c r="T34" s="6" t="inlineStr">
        <is>
          <t>—</t>
        </is>
      </c>
      <c r="U34" s="6" t="inlineStr">
        <is>
          <t>—</t>
        </is>
      </c>
      <c r="V34" s="6" t="inlineStr">
        <is>
          <t>Vladimir Keil</t>
        </is>
      </c>
      <c r="W34" s="6" t="inlineStr">
        <is>
          <t>Titles: 'Your BPO Costs 93% Too Much. We'll Prove It in 15 Minutes with our AI Agents' (Mar 16, Agentic AI Bootcamp) + 'When Loops Kill Speed: How Virtual Buyers Turn Weeks of GBS Procurement into Seconds' (Mar 18). Pure BPO-displacement GTM.</t>
        </is>
      </c>
      <c r="X34" s="6" t="inlineStr">
        <is>
          <t>https://www.ssonetwork.com/events-shared-services-week/speakers/vladimir-keil</t>
        </is>
      </c>
    </row>
    <row r="35">
      <c r="A35" s="7" t="n">
        <v>34</v>
      </c>
      <c r="B35" s="7" t="inlineStr">
        <is>
          <t>Americas Procurement Congress 2026</t>
        </is>
      </c>
      <c r="C35" s="7" t="inlineStr">
        <is>
          <t>Procurement Leaders</t>
        </is>
      </c>
      <c r="D35" s="7" t="inlineStr">
        <is>
          <t>Speaker / thought leadership</t>
        </is>
      </c>
      <c r="E35" s="7" t="inlineStr">
        <is>
          <t>Procurement Leaders (World 50)</t>
        </is>
      </c>
      <c r="F35" s="7" t="n">
        <v>2026</v>
      </c>
      <c r="G35" s="7" t="inlineStr">
        <is>
          <t>Mar 23–25, 2026</t>
        </is>
      </c>
      <c r="H35" s="7" t="inlineStr">
        <is>
          <t>New Orleans</t>
        </is>
      </c>
      <c r="I35" s="7" t="inlineStr">
        <is>
          <t>The Roosevelt</t>
        </is>
      </c>
      <c r="J35" s="7" t="inlineStr">
        <is>
          <t>US</t>
        </is>
      </c>
      <c r="K35" s="7" t="inlineStr">
        <is>
          <t>US</t>
        </is>
      </c>
      <c r="L35" s="7" t="inlineStr">
        <is>
          <t>Congress</t>
        </is>
      </c>
      <c r="M35" s="7" t="inlineStr">
        <is>
          <t>In-person</t>
        </is>
      </c>
      <c r="N35" s="7" t="inlineStr">
        <is>
          <t>EN</t>
        </is>
      </c>
      <c r="O35" s="7" t="inlineStr">
        <is>
          <t>Session host: 2 roundtables + workshop</t>
        </is>
      </c>
      <c r="P35" s="7" t="inlineStr">
        <is>
          <t>Past</t>
        </is>
      </c>
      <c r="Q35" s="7" t="inlineStr">
        <is>
          <t>Confirmed</t>
        </is>
      </c>
      <c r="R35" s="7" t="inlineStr">
        <is>
          <t>Theme 'Rapid Breakthroughs, Lasting Impact'; 50+ speakers</t>
        </is>
      </c>
      <c r="S35" s="7" t="inlineStr">
        <is>
          <t>CPO-level; Procurement Leaders member companies</t>
        </is>
      </c>
      <c r="T35" s="7" t="inlineStr">
        <is>
          <t>—</t>
        </is>
      </c>
      <c r="U35" s="7" t="inlineStr">
        <is>
          <t>—</t>
        </is>
      </c>
      <c r="V35" s="7" t="inlineStr">
        <is>
          <t>—</t>
        </is>
      </c>
      <c r="W35" s="7" t="inlineStr">
        <is>
          <t>Workshop 'Humans vs. AI Agents: Who Runs Procurement in 2026?' — start of the same-titled world tour</t>
        </is>
      </c>
      <c r="X35" s="7" t="inlineStr">
        <is>
          <t>https://www.clocate.com/americas-procurement-congress/46808/</t>
        </is>
      </c>
    </row>
    <row r="36">
      <c r="A36" s="6" t="n">
        <v>35</v>
      </c>
      <c r="B36" s="6" t="inlineStr">
        <is>
          <t>North American Procurement Executive Summit (NAPES) 2026</t>
        </is>
      </c>
      <c r="C36" s="6" t="inlineStr">
        <is>
          <t>Executive Platforms</t>
        </is>
      </c>
      <c r="D36" s="6" t="inlineStr">
        <is>
          <t>Sponsorship / exhibition</t>
        </is>
      </c>
      <c r="E36" s="6" t="inlineStr">
        <is>
          <t>Executive Platforms</t>
        </is>
      </c>
      <c r="F36" s="6" t="n">
        <v>2026</v>
      </c>
      <c r="G36" s="6" t="inlineStr">
        <is>
          <t>Apr 13–15, 2026</t>
        </is>
      </c>
      <c r="H36" s="6" t="inlineStr">
        <is>
          <t>Miami</t>
        </is>
      </c>
      <c r="I36" s="6" t="inlineStr">
        <is>
          <t>JW Marriott Miami Turnberry</t>
        </is>
      </c>
      <c r="J36" s="6" t="inlineStr">
        <is>
          <t>US</t>
        </is>
      </c>
      <c r="K36" s="6" t="inlineStr">
        <is>
          <t>US</t>
        </is>
      </c>
      <c r="L36" s="6" t="inlineStr">
        <is>
          <t>Executive summit</t>
        </is>
      </c>
      <c r="M36" s="6" t="inlineStr">
        <is>
          <t>In-person</t>
        </is>
      </c>
      <c r="N36" s="6" t="inlineStr">
        <is>
          <t>EN</t>
        </is>
      </c>
      <c r="O36" s="6" t="inlineStr">
        <is>
          <t>Exhibitor / sponsor</t>
        </is>
      </c>
      <c r="P36" s="6" t="inlineStr">
        <is>
          <t>Past</t>
        </is>
      </c>
      <c r="Q36" s="6" t="inlineStr">
        <is>
          <t>Intent (Lio calendar only)</t>
        </is>
      </c>
      <c r="R36" s="6" t="inlineStr">
        <is>
          <t>North American procurement executive summit</t>
        </is>
      </c>
      <c r="S36" s="6" t="inlineStr">
        <is>
          <t>NA procurement executives (VP+)</t>
        </is>
      </c>
      <c r="T36" s="6" t="inlineStr">
        <is>
          <t>—</t>
        </is>
      </c>
      <c r="U36" s="6" t="inlineStr">
        <is>
          <t>—</t>
        </is>
      </c>
      <c r="V36" s="6" t="inlineStr">
        <is>
          <t>—</t>
        </is>
      </c>
      <c r="W36" s="6" t="inlineStr">
        <is>
          <t>Lio CPO dinner hosted Apr 14 alongside; organizer-side sponsor roster not verifiable</t>
        </is>
      </c>
      <c r="X36" s="6" t="inlineStr">
        <is>
          <t>https://lio.ai/events</t>
        </is>
      </c>
    </row>
    <row r="37">
      <c r="A37" s="7" t="n">
        <v>36</v>
      </c>
      <c r="B37" s="7" t="inlineStr">
        <is>
          <t>Procurement &amp; Supply Chain LIVE: The US Summit</t>
        </is>
      </c>
      <c r="C37" s="7" t="inlineStr">
        <is>
          <t>BizClik</t>
        </is>
      </c>
      <c r="D37" s="7" t="inlineStr">
        <is>
          <t>Speaker / thought leadership</t>
        </is>
      </c>
      <c r="E37" s="7" t="inlineStr">
        <is>
          <t>BizClik Media</t>
        </is>
      </c>
      <c r="F37" s="7" t="n">
        <v>2026</v>
      </c>
      <c r="G37" s="7" t="inlineStr">
        <is>
          <t>Apr 21–22, 2026</t>
        </is>
      </c>
      <c r="H37" s="7" t="inlineStr">
        <is>
          <t>Chicago</t>
        </is>
      </c>
      <c r="I37" s="7" t="inlineStr">
        <is>
          <t>Navy Pier</t>
        </is>
      </c>
      <c r="J37" s="7" t="inlineStr">
        <is>
          <t>US</t>
        </is>
      </c>
      <c r="K37" s="7" t="inlineStr">
        <is>
          <t>US</t>
        </is>
      </c>
      <c r="L37" s="7" t="inlineStr">
        <is>
          <t>Summit + awards</t>
        </is>
      </c>
      <c r="M37" s="7" t="inlineStr">
        <is>
          <t>Hybrid</t>
        </is>
      </c>
      <c r="N37" s="7" t="inlineStr">
        <is>
          <t>EN</t>
        </is>
      </c>
      <c r="O37" s="7" t="inlineStr">
        <is>
          <t>Workshop host</t>
        </is>
      </c>
      <c r="P37" s="7" t="inlineStr">
        <is>
          <t>Past</t>
        </is>
      </c>
      <c r="Q37" s="7" t="inlineStr">
        <is>
          <t>Confirmed</t>
        </is>
      </c>
      <c r="R37" s="7" t="inlineStr">
        <is>
          <t>Media-led hybrid summit (co-located with Sustainability LIVE US)</t>
        </is>
      </c>
      <c r="S37" s="7" t="inlineStr">
        <is>
          <t>2,000+ attendees; broader seniority mix; strong media amplification</t>
        </is>
      </c>
      <c r="T37" s="7" t="inlineStr">
        <is>
          <t>2,000+</t>
        </is>
      </c>
      <c r="U37" s="7" t="inlineStr">
        <is>
          <t>—</t>
        </is>
      </c>
      <c r="V37" s="7" t="inlineStr">
        <is>
          <t>Vladimir Keil (quoted in preview)</t>
        </is>
      </c>
      <c r="W37" s="7" t="inlineStr">
        <is>
          <t>Workshop 'Humans vs. AI Agents: Who Runs Procurement in 2026?' — 'It isn't about replacing procurement teams… it's about what procurement teams become'</t>
        </is>
      </c>
      <c r="X37" s="7" t="inlineStr">
        <is>
          <t>https://procurementmag.com/news/lio-workshop-the-us-summit-2026</t>
        </is>
      </c>
    </row>
    <row r="38">
      <c r="A38" s="6" t="n">
        <v>37</v>
      </c>
      <c r="B38" s="6" t="inlineStr">
        <is>
          <t>ProcureCon Connect 2026 (EU)</t>
        </is>
      </c>
      <c r="C38" s="6" t="inlineStr">
        <is>
          <t>ProcureCon</t>
        </is>
      </c>
      <c r="D38" s="6" t="inlineStr">
        <is>
          <t>Speaker / thought leadership</t>
        </is>
      </c>
      <c r="E38" s="6" t="inlineStr">
        <is>
          <t>WBR</t>
        </is>
      </c>
      <c r="F38" s="6" t="n">
        <v>2026</v>
      </c>
      <c r="G38" s="6" t="inlineStr">
        <is>
          <t>Apr 21–22, 2026</t>
        </is>
      </c>
      <c r="H38" s="6" t="inlineStr">
        <is>
          <t>Paris</t>
        </is>
      </c>
      <c r="I38" s="6" t="inlineStr">
        <is>
          <t>Novotel Paris Centre Tour Eiffel</t>
        </is>
      </c>
      <c r="J38" s="6" t="inlineStr">
        <is>
          <t>FR</t>
        </is>
      </c>
      <c r="K38" s="6" t="inlineStr">
        <is>
          <t>EU</t>
        </is>
      </c>
      <c r="L38" s="6" t="inlineStr">
        <is>
          <t>Invite-style CPO connect event</t>
        </is>
      </c>
      <c r="M38" s="6" t="inlineStr">
        <is>
          <t>In-person</t>
        </is>
      </c>
      <c r="N38" s="6" t="inlineStr">
        <is>
          <t>EN</t>
        </is>
      </c>
      <c r="O38" s="6" t="inlineStr">
        <is>
          <t>Speaker + sponsor</t>
        </is>
      </c>
      <c r="P38" s="6" t="inlineStr">
        <is>
          <t>Past</t>
        </is>
      </c>
      <c r="Q38" s="6" t="inlineStr">
        <is>
          <t>Confirmed</t>
        </is>
      </c>
      <c r="R38" s="6" t="inlineStr">
        <is>
          <t>Curated CPO connect format</t>
        </is>
      </c>
      <c r="S38" s="6" t="inlineStr">
        <is>
          <t>Invite-only CPOs / Heads of Indirect</t>
        </is>
      </c>
      <c r="T38" s="6" t="inlineStr">
        <is>
          <t>Boutique</t>
        </is>
      </c>
      <c r="U38" s="6" t="inlineStr">
        <is>
          <t>—</t>
        </is>
      </c>
      <c r="V38" s="6" t="inlineStr">
        <is>
          <t>Vladimir Keil</t>
        </is>
      </c>
      <c r="W38" s="6" t="inlineStr">
        <is>
          <t>Ran parallel to Chicago summit (split-team coverage)</t>
        </is>
      </c>
      <c r="X38" s="6" t="inlineStr">
        <is>
          <t>https://procureconconnect.wbresearch.com/speakers/vladimir-keil</t>
        </is>
      </c>
    </row>
    <row r="39">
      <c r="A39" s="7" t="n">
        <v>38</v>
      </c>
      <c r="B39" s="7" t="inlineStr">
        <is>
          <t>Handelsblatt CPO Summit 2026 (Beschaffungsgipfel)</t>
        </is>
      </c>
      <c r="C39" s="7" t="inlineStr">
        <is>
          <t>Handelsblatt</t>
        </is>
      </c>
      <c r="D39" s="7" t="inlineStr">
        <is>
          <t>Sponsorship / exhibition</t>
        </is>
      </c>
      <c r="E39" s="7" t="inlineStr">
        <is>
          <t>Handelsblatt Live / Euroforum</t>
        </is>
      </c>
      <c r="F39" s="7" t="n">
        <v>2026</v>
      </c>
      <c r="G39" s="7" t="inlineStr">
        <is>
          <t>Apr 27–28, 2026</t>
        </is>
      </c>
      <c r="H39" s="7" t="inlineStr">
        <is>
          <t>Düsseldorf</t>
        </is>
      </c>
      <c r="I39" s="7" t="inlineStr">
        <is>
          <t>Handelsblatt Media Group HQ</t>
        </is>
      </c>
      <c r="J39" s="7" t="inlineStr">
        <is>
          <t>DE</t>
        </is>
      </c>
      <c r="K39" s="7" t="inlineStr">
        <is>
          <t>DACH</t>
        </is>
      </c>
      <c r="L39" s="7" t="inlineStr">
        <is>
          <t>C-level summit (Chatham House)</t>
        </is>
      </c>
      <c r="M39" s="7" t="inlineStr">
        <is>
          <t>In-person</t>
        </is>
      </c>
      <c r="N39" s="7" t="inlineStr">
        <is>
          <t>DE</t>
        </is>
      </c>
      <c r="O39" s="7" t="inlineStr">
        <is>
          <t>Exhibitor / sponsor</t>
        </is>
      </c>
      <c r="P39" s="7" t="inlineStr">
        <is>
          <t>Past</t>
        </is>
      </c>
      <c r="Q39" s="7" t="inlineStr">
        <is>
          <t>Intent (Lio calendar; partner page rolled to 2027)</t>
        </is>
      </c>
      <c r="R39" s="7" t="inlineStr">
        <is>
          <t>Germany's most exclusive CPO summit — 'quality over quantity'</t>
        </is>
      </c>
      <c r="S39" s="7" t="inlineStr">
        <is>
          <t>est. 150–250; CPOs of DAX + Mittelstand; €2,300–2,500 ticket</t>
        </is>
      </c>
      <c r="T39" s="7" t="inlineStr">
        <is>
          <t>est. 150–250</t>
        </is>
      </c>
      <c r="U39" s="7" t="inlineStr">
        <is>
          <t>Speaker CPOs incl. BASF, Covestro, Evonik, Uniper, Miele, Bilfinger, Deutsche Bahn, HHLA, tesa</t>
        </is>
      </c>
      <c r="V39" s="7" t="inlineStr">
        <is>
          <t>—</t>
        </is>
      </c>
      <c r="W39" s="7" t="inlineStr">
        <is>
          <t>Lio also placed 2 Handelsblatt articles (advertorial 'Wenn KI das Denken lernt' + Keil guest piece on the Summit content hub)</t>
        </is>
      </c>
      <c r="X39" s="7" t="inlineStr">
        <is>
          <t>https://live.handelsblatt.com/event/handelsblatt-cpo-summit/</t>
        </is>
      </c>
    </row>
    <row r="40">
      <c r="A40" s="6" t="n">
        <v>39</v>
      </c>
      <c r="B40" s="6" t="inlineStr">
        <is>
          <t>BME eLösungstage 2026 (17th)</t>
        </is>
      </c>
      <c r="C40" s="6" t="inlineStr">
        <is>
          <t>BME</t>
        </is>
      </c>
      <c r="D40" s="6" t="inlineStr">
        <is>
          <t>Sponsorship / exhibition</t>
        </is>
      </c>
      <c r="E40" s="6" t="inlineStr">
        <is>
          <t>BME e.V.</t>
        </is>
      </c>
      <c r="F40" s="6" t="n">
        <v>2026</v>
      </c>
      <c r="G40" s="6" t="inlineStr">
        <is>
          <t>May 19–20, 2026</t>
        </is>
      </c>
      <c r="H40" s="6" t="inlineStr">
        <is>
          <t>Düsseldorf</t>
        </is>
      </c>
      <c r="I40" s="6" t="inlineStr">
        <is>
          <t>Areal Böhler</t>
        </is>
      </c>
      <c r="J40" s="6" t="inlineStr">
        <is>
          <t>DE</t>
        </is>
      </c>
      <c r="K40" s="6" t="inlineStr">
        <is>
          <t>DACH</t>
        </is>
      </c>
      <c r="L40" s="6" t="inlineStr">
        <is>
          <t>Trade fair / congress</t>
        </is>
      </c>
      <c r="M40" s="6" t="inlineStr">
        <is>
          <t>In-person</t>
        </is>
      </c>
      <c r="N40" s="6" t="inlineStr">
        <is>
          <t>DE</t>
        </is>
      </c>
      <c r="O40" s="6" t="inlineStr">
        <is>
          <t>Official Partner (1 of 43) + profile page</t>
        </is>
      </c>
      <c r="P40" s="6" t="inlineStr">
        <is>
          <t>Past</t>
        </is>
      </c>
      <c r="Q40" s="6" t="inlineStr">
        <is>
          <t>Confirmed</t>
        </is>
      </c>
      <c r="R40" s="6" t="inlineStr">
        <is>
          <t>Largest DACH procurement-digitalization event; #skillup4digital</t>
        </is>
      </c>
      <c r="S40" s="6" t="inlineStr">
        <is>
          <t>~1,000 attendees; DACH digitalization practitioners; BME association = 13,000 members</t>
        </is>
      </c>
      <c r="T40" s="6" t="inlineStr">
        <is>
          <t>~1,000</t>
        </is>
      </c>
      <c r="U40" s="6" t="inlineStr">
        <is>
          <t>—</t>
        </is>
      </c>
      <c r="V40" s="6" t="inlineStr">
        <is>
          <t>—</t>
        </is>
      </c>
      <c r="W40" s="6" t="inlineStr">
        <is>
          <t>BME profile cites 700,000+ users, 100+ enterprise clients, &gt;80% automation; Lio Principals dinner same night; Lio also holds a BME Opensourcing supplier profile</t>
        </is>
      </c>
      <c r="X40" s="6" t="inlineStr">
        <is>
          <t>https://www.bme.de/veranstaltungen/grossveranstaltungen/eloesungstage/partner-aussteller-2026/</t>
        </is>
      </c>
    </row>
    <row r="41">
      <c r="A41" s="7" t="n">
        <v>40</v>
      </c>
      <c r="B41" s="7" t="inlineStr">
        <is>
          <t>World Procurement Congress 2026</t>
        </is>
      </c>
      <c r="C41" s="7" t="inlineStr">
        <is>
          <t>Procurement Leaders</t>
        </is>
      </c>
      <c r="D41" s="7" t="inlineStr">
        <is>
          <t>Sponsorship / exhibition</t>
        </is>
      </c>
      <c r="E41" s="7" t="inlineStr">
        <is>
          <t>Procurement Leaders (World 50)</t>
        </is>
      </c>
      <c r="F41" s="7" t="n">
        <v>2026</v>
      </c>
      <c r="G41" s="7" t="inlineStr">
        <is>
          <t>May 20–21, 2026</t>
        </is>
      </c>
      <c r="H41" s="7" t="inlineStr">
        <is>
          <t>London</t>
        </is>
      </c>
      <c r="I41" s="7" t="inlineStr">
        <is>
          <t>InterContinental London – The O2</t>
        </is>
      </c>
      <c r="J41" s="7" t="inlineStr">
        <is>
          <t>UK</t>
        </is>
      </c>
      <c r="K41" s="7" t="inlineStr">
        <is>
          <t>UK</t>
        </is>
      </c>
      <c r="L41" s="7" t="inlineStr">
        <is>
          <t>Congress</t>
        </is>
      </c>
      <c r="M41" s="7" t="inlineStr">
        <is>
          <t>In-person</t>
        </is>
      </c>
      <c r="N41" s="7" t="inlineStr">
        <is>
          <t>EN</t>
        </is>
      </c>
      <c r="O41" s="7" t="inlineStr">
        <is>
          <t>Partner / exhibitor</t>
        </is>
      </c>
      <c r="P41" s="7" t="inlineStr">
        <is>
          <t>Past</t>
        </is>
      </c>
      <c r="Q41" s="7" t="inlineStr">
        <is>
          <t>Confirmed (aggregators; partner page 403-gated)</t>
        </is>
      </c>
      <c r="R41" s="7" t="inlineStr">
        <is>
          <t>Most senior peer gathering in European procurement</t>
        </is>
      </c>
      <c r="S41" s="7" t="inlineStr">
        <is>
          <t>est. 500–800 delegates; 70% director-level or above; FMCG/pharma/auto/tech multinationals</t>
        </is>
      </c>
      <c r="T41" s="7" t="inlineStr">
        <is>
          <t>est. 500–800</t>
        </is>
      </c>
      <c r="U41" s="7" t="inlineStr">
        <is>
          <t>DHL, ASML, Unilever, AstraZeneca (recurring participants)</t>
        </is>
      </c>
      <c r="V41" s="7" t="inlineStr">
        <is>
          <t>—</t>
        </is>
      </c>
      <c r="W41" s="7" t="inlineStr">
        <is>
          <t>Lio Principals dinner at Gaucho The O2 on May 20 targets exactly this crowd; note Lio calendar says 'May 19' vs actual May 20–21</t>
        </is>
      </c>
      <c r="X41" s="7" t="inlineStr">
        <is>
          <t>https://10times.com/world-procurement-congress</t>
        </is>
      </c>
    </row>
    <row r="42">
      <c r="A42" s="6" t="n">
        <v>41</v>
      </c>
      <c r="B42" s="6" t="inlineStr">
        <is>
          <t>DPW New York 2026</t>
        </is>
      </c>
      <c r="C42" s="6" t="inlineStr">
        <is>
          <t>DPW</t>
        </is>
      </c>
      <c r="D42" s="6" t="inlineStr">
        <is>
          <t>Sponsorship / exhibition</t>
        </is>
      </c>
      <c r="E42" s="6" t="inlineStr">
        <is>
          <t>DPW</t>
        </is>
      </c>
      <c r="F42" s="6" t="n">
        <v>2026</v>
      </c>
      <c r="G42" s="6" t="inlineStr">
        <is>
          <t>Jun 3–4, 2026</t>
        </is>
      </c>
      <c r="H42" s="6" t="inlineStr">
        <is>
          <t>New York (Brooklyn)</t>
        </is>
      </c>
      <c r="I42" s="6" t="inlineStr">
        <is>
          <t>Duggal Greenhouse, Brooklyn Navy Yard</t>
        </is>
      </c>
      <c r="J42" s="6" t="inlineStr">
        <is>
          <t>US</t>
        </is>
      </c>
      <c r="K42" s="6" t="inlineStr">
        <is>
          <t>US</t>
        </is>
      </c>
      <c r="L42" s="6" t="inlineStr">
        <is>
          <t>Conference + expo</t>
        </is>
      </c>
      <c r="M42" s="6" t="inlineStr">
        <is>
          <t>In-person</t>
        </is>
      </c>
      <c r="N42" s="6" t="inlineStr">
        <is>
          <t>EN</t>
        </is>
      </c>
      <c r="O42" s="6" t="inlineStr">
        <is>
          <t>Sponsor + Exhibitor (Booth 10) + Speaker (Keil)</t>
        </is>
      </c>
      <c r="P42" s="6" t="inlineStr">
        <is>
          <t>Past</t>
        </is>
      </c>
      <c r="Q42" s="6" t="inlineStr">
        <is>
          <t>Confirmed</t>
        </is>
      </c>
      <c r="R42" s="6" t="inlineStr">
        <is>
          <t>US edition of DPW; 85 speakers / 50 sessions</t>
        </is>
      </c>
      <c r="S42" s="6" t="inlineStr">
        <is>
          <t>700+ (2025) → 1,000 target 2026; US Fortune 500 skew (Amazon, Google, Microsoft, Meta, Pfizer, J&amp;J, PepsiCo); $2,500 GA / $5,999 vendor</t>
        </is>
      </c>
      <c r="T42" s="6" t="inlineStr">
        <is>
          <t>700–1,000</t>
        </is>
      </c>
      <c r="U42" s="6" t="inlineStr">
        <is>
          <t>Amazon, Google, Microsoft, Meta, Pfizer, J&amp;J, PepsiCo, Mondelēz, Barclays, KKR, Stripe (typical)</t>
        </is>
      </c>
      <c r="V42" s="6" t="inlineStr">
        <is>
          <t>Vladimir Keil (speaker; session title login-gated)</t>
        </is>
      </c>
      <c r="W42" s="6" t="inlineStr">
        <is>
          <t>Triple presence (sponsor+booth+speaker) + private CPO dinner Jun 2 = biggest single US event investment to date</t>
        </is>
      </c>
      <c r="X42" s="6" t="inlineStr">
        <is>
          <t>https://nyc.dpw.ai/our-sponsors/</t>
        </is>
      </c>
    </row>
    <row r="43">
      <c r="A43" s="7" t="n">
        <v>42</v>
      </c>
      <c r="B43" s="7" t="inlineStr">
        <is>
          <t>ProcureCon Connect US 2026</t>
        </is>
      </c>
      <c r="C43" s="7" t="inlineStr">
        <is>
          <t>ProcureCon</t>
        </is>
      </c>
      <c r="D43" s="7" t="inlineStr">
        <is>
          <t>Sponsorship / exhibition</t>
        </is>
      </c>
      <c r="E43" s="7" t="inlineStr">
        <is>
          <t>WBR</t>
        </is>
      </c>
      <c r="F43" s="7" t="n">
        <v>2026</v>
      </c>
      <c r="G43" s="7" t="inlineStr">
        <is>
          <t>Jun 15–16, 2026</t>
        </is>
      </c>
      <c r="H43" s="7" t="inlineStr">
        <is>
          <t>Austin, TX</t>
        </is>
      </c>
      <c r="I43" s="7" t="inlineStr">
        <is>
          <t>Hyatt Regency Austin</t>
        </is>
      </c>
      <c r="J43" s="7" t="inlineStr">
        <is>
          <t>US</t>
        </is>
      </c>
      <c r="K43" s="7" t="inlineStr">
        <is>
          <t>US</t>
        </is>
      </c>
      <c r="L43" s="7" t="inlineStr">
        <is>
          <t>Invite-only CPO connect event</t>
        </is>
      </c>
      <c r="M43" s="7" t="inlineStr">
        <is>
          <t>In-person</t>
        </is>
      </c>
      <c r="N43" s="7" t="inlineStr">
        <is>
          <t>EN</t>
        </is>
      </c>
      <c r="O43" s="7" t="inlineStr">
        <is>
          <t>Sponsor/exhibitor; attended by US GTM team</t>
        </is>
      </c>
      <c r="P43" s="7" t="inlineStr">
        <is>
          <t>Past</t>
        </is>
      </c>
      <c r="Q43" s="7" t="inlineStr">
        <is>
          <t>Confirmed (attendance via Lio content)</t>
        </is>
      </c>
      <c r="R43" s="7" t="inlineStr">
        <is>
          <t>Boutique invitation-only format, curated 1:1 vendor meetings</t>
        </is>
      </c>
      <c r="S43" s="7" t="inlineStr">
        <is>
          <t>~50 procurement leaders from 'the world's largest companies'; est. &lt;150</t>
        </is>
      </c>
      <c r="T43" s="7" t="inlineStr">
        <is>
          <t>est. &lt;150</t>
        </is>
      </c>
      <c r="U43" s="7" t="inlineStr">
        <is>
          <t>—</t>
        </is>
      </c>
      <c r="V43" s="7" t="inlineStr">
        <is>
          <t>Jared Petras (Head of US Growth), Michael Schmid (VP Sales)</t>
        </is>
      </c>
      <c r="W43" s="7" t="inlineStr">
        <is>
          <t>First post-hire outing of the Petras-led US team</t>
        </is>
      </c>
      <c r="X43" s="7" t="inlineStr">
        <is>
          <t>https://procureconconnectus.wbresearch.com/venue</t>
        </is>
      </c>
    </row>
    <row r="44">
      <c r="A44" s="6" t="n">
        <v>43</v>
      </c>
      <c r="B44" s="6" t="inlineStr">
        <is>
          <t>VivaTech 'Top 100 Rising European Startups' 2026</t>
        </is>
      </c>
      <c r="C44" s="6" t="inlineStr">
        <is>
          <t>VivaTech</t>
        </is>
      </c>
      <c r="D44" s="6" t="inlineStr">
        <is>
          <t>Award / recognition</t>
        </is>
      </c>
      <c r="E44" s="6" t="inlineStr">
        <is>
          <t>VivaTech + partners</t>
        </is>
      </c>
      <c r="F44" s="6" t="n">
        <v>2026</v>
      </c>
      <c r="G44" s="6" t="inlineStr">
        <is>
          <t>List Mar 12; expo Jun 17–20, 2026</t>
        </is>
      </c>
      <c r="H44" s="6" t="inlineStr">
        <is>
          <t>Paris</t>
        </is>
      </c>
      <c r="I44" s="6" t="inlineStr">
        <is>
          <t>Porte de Versailles</t>
        </is>
      </c>
      <c r="J44" s="6" t="inlineStr">
        <is>
          <t>FR</t>
        </is>
      </c>
      <c r="K44" s="6" t="inlineStr">
        <is>
          <t>EU</t>
        </is>
      </c>
      <c r="L44" s="6" t="inlineStr">
        <is>
          <t>Ranking + showcase</t>
        </is>
      </c>
      <c r="M44" s="6" t="inlineStr">
        <is>
          <t>In-person</t>
        </is>
      </c>
      <c r="N44" s="6" t="inlineStr">
        <is>
          <t>EN</t>
        </is>
      </c>
      <c r="O44" s="6" t="inlineStr">
        <is>
          <t>Listed Top-100 startup — category 'AI Productivity and Automation'</t>
        </is>
      </c>
      <c r="P44" s="6" t="inlineStr">
        <is>
          <t>Past</t>
        </is>
      </c>
      <c r="Q44" s="6" t="inlineStr">
        <is>
          <t>Confirmed (listing); on-site showcase unconfirmed</t>
        </is>
      </c>
      <c r="R44" s="6" t="inlineStr">
        <is>
          <t>2nd edition of the ranking; 'technological sovereignty' theme; Germany had 23 entries</t>
        </is>
      </c>
      <c r="S44" s="6" t="inlineStr">
        <is>
          <t>European tech ecosystem, investors, corporates</t>
        </is>
      </c>
      <c r="T44" s="6" t="inlineStr">
        <is>
          <t>—</t>
        </is>
      </c>
      <c r="U44" s="6" t="inlineStr">
        <is>
          <t>—</t>
        </is>
      </c>
      <c r="V44" s="6" t="inlineStr">
        <is>
          <t>—</t>
        </is>
      </c>
      <c r="W44" s="6" t="inlineStr">
        <is>
          <t>Entry criteria: HQ in Europe, ≥€5M ARR in 2025, ≥40% 3-yr growth — SECOND ARR SIGNAL (≥€5M ARR 2025)</t>
        </is>
      </c>
      <c r="X44" s="6" t="inlineStr">
        <is>
          <t>https://vivatech.com/media/press-releases/viva-tech-s-2026-top-100-rising-european-startups-ranking-technological-sovereignty-a-priority-for-european-tech-ecosystems</t>
        </is>
      </c>
    </row>
    <row r="45">
      <c r="A45" s="7" t="n">
        <v>44</v>
      </c>
      <c r="B45" s="7" t="inlineStr">
        <is>
          <t>Procurement Summit 2026</t>
        </is>
      </c>
      <c r="C45" s="7" t="inlineStr">
        <is>
          <t>Procurement Summit Hamburg</t>
        </is>
      </c>
      <c r="D45" s="7" t="inlineStr">
        <is>
          <t>Sponsorship / exhibition</t>
        </is>
      </c>
      <c r="E45" s="7" t="inlineStr">
        <is>
          <t>Procurement Summit</t>
        </is>
      </c>
      <c r="F45" s="7" t="n">
        <v>2026</v>
      </c>
      <c r="G45" s="7" t="inlineStr">
        <is>
          <t>Jun 24–25, 2026</t>
        </is>
      </c>
      <c r="H45" s="7" t="inlineStr">
        <is>
          <t>Hamburg</t>
        </is>
      </c>
      <c r="I45" s="7" t="inlineStr">
        <is>
          <t>Schuppen 52</t>
        </is>
      </c>
      <c r="J45" s="7" t="inlineStr">
        <is>
          <t>DE</t>
        </is>
      </c>
      <c r="K45" s="7" t="inlineStr">
        <is>
          <t>DACH</t>
        </is>
      </c>
      <c r="L45" s="7" t="inlineStr">
        <is>
          <t>Trade fair + conference</t>
        </is>
      </c>
      <c r="M45" s="7" t="inlineStr">
        <is>
          <t>In-person</t>
        </is>
      </c>
      <c r="N45" s="7" t="inlineStr">
        <is>
          <t>DE</t>
        </is>
      </c>
      <c r="O45" s="7" t="inlineStr">
        <is>
          <t>Exhibitor (Booth C09) + founders masterclass</t>
        </is>
      </c>
      <c r="P45" s="7" t="inlineStr">
        <is>
          <t>Past</t>
        </is>
      </c>
      <c r="Q45" s="7" t="inlineStr">
        <is>
          <t>Confirmed</t>
        </is>
      </c>
      <c r="R45" s="7" t="inlineStr">
        <is>
          <t>German procurement innovation fair</t>
        </is>
      </c>
      <c r="S45" s="7" t="inlineStr">
        <is>
          <t>~2,300 attendees; German Mittelstand + enterprise procurement</t>
        </is>
      </c>
      <c r="T45" s="7" t="inlineStr">
        <is>
          <t>~2,300</t>
        </is>
      </c>
      <c r="U45" s="7" t="inlineStr">
        <is>
          <t>—</t>
        </is>
      </c>
      <c r="V45" s="7" t="inlineStr">
        <is>
          <t>Vladimir Keil + founding team</t>
        </is>
      </c>
      <c r="W45" s="7" t="inlineStr">
        <is>
          <t>3rd consecutive year on stage; masterclass 'Humans vs. AI Agents: Who Runs Procurement in 2026?'</t>
        </is>
      </c>
      <c r="X45" s="7" t="inlineStr">
        <is>
          <t>https://procurementsummit.eu/exhibitors</t>
        </is>
      </c>
    </row>
    <row r="46">
      <c r="A46" s="6" t="n">
        <v>45</v>
      </c>
      <c r="B46" s="6" t="inlineStr">
        <is>
          <t>TUM.ai E-Lab Final Pitch</t>
        </is>
      </c>
      <c r="C46" s="6" t="inlineStr">
        <is>
          <t>—</t>
        </is>
      </c>
      <c r="D46" s="6" t="inlineStr">
        <is>
          <t>Campus / talent</t>
        </is>
      </c>
      <c r="E46" s="6" t="inlineStr">
        <is>
          <t>TUM.ai (TU Munich student initiative)</t>
        </is>
      </c>
      <c r="F46" s="6" t="n">
        <v>2026</v>
      </c>
      <c r="G46" s="6" t="inlineStr">
        <is>
          <t>~mid-Jul 2026</t>
        </is>
      </c>
      <c r="H46" s="6" t="inlineStr">
        <is>
          <t>Munich</t>
        </is>
      </c>
      <c r="I46" s="6" t="inlineStr">
        <is>
          <t>TUM</t>
        </is>
      </c>
      <c r="J46" s="6" t="inlineStr">
        <is>
          <t>DE</t>
        </is>
      </c>
      <c r="K46" s="6" t="inlineStr">
        <is>
          <t>DACH</t>
        </is>
      </c>
      <c r="L46" s="6" t="inlineStr">
        <is>
          <t>University pitch event</t>
        </is>
      </c>
      <c r="M46" s="6" t="inlineStr">
        <is>
          <t>In-person</t>
        </is>
      </c>
      <c r="N46" s="6" t="inlineStr">
        <is>
          <t>EN</t>
        </is>
      </c>
      <c r="O46" s="6" t="inlineStr">
        <is>
          <t>Speaker</t>
        </is>
      </c>
      <c r="P46" s="6" t="inlineStr">
        <is>
          <t>Past</t>
        </is>
      </c>
      <c r="Q46" s="6" t="inlineStr">
        <is>
          <t>Confirmed (LinkedIn)</t>
        </is>
      </c>
      <c r="R46" s="6" t="inlineStr">
        <is>
          <t>Student AI accelerator final pitches; Keil on founder mindset + AI in procurement</t>
        </is>
      </c>
      <c r="S46" s="6" t="inlineStr">
        <is>
          <t>Students, junior AI talent</t>
        </is>
      </c>
      <c r="T46" s="6" t="inlineStr">
        <is>
          <t>—</t>
        </is>
      </c>
      <c r="U46" s="6" t="inlineStr">
        <is>
          <t>—</t>
        </is>
      </c>
      <c r="V46" s="6" t="inlineStr">
        <is>
          <t>Vladimir Keil</t>
        </is>
      </c>
      <c r="W46" s="6" t="inlineStr">
        <is>
          <t>Talent-pipeline play in Munich AI ecosystem (CTO Heinzmann also won an Anthropic x TUM.ai hackathon per bio aggregators — unverified date)</t>
        </is>
      </c>
      <c r="X46" s="6" t="inlineStr">
        <is>
          <t>https://www.linkedin.com/company/lio-ai/</t>
        </is>
      </c>
    </row>
    <row r="47">
      <c r="A47" s="7" t="n">
        <v>46</v>
      </c>
      <c r="B47" s="7" t="inlineStr">
        <is>
          <t>LSESU German Society 'Meet Lio'</t>
        </is>
      </c>
      <c r="C47" s="7" t="inlineStr">
        <is>
          <t>—</t>
        </is>
      </c>
      <c r="D47" s="7" t="inlineStr">
        <is>
          <t>Campus / talent</t>
        </is>
      </c>
      <c r="E47" s="7" t="inlineStr">
        <is>
          <t>LSE Students' Union German Society</t>
        </is>
      </c>
      <c r="F47" s="7" t="n">
        <v>2026</v>
      </c>
      <c r="G47" s="7" t="inlineStr">
        <is>
          <t>Early 2026</t>
        </is>
      </c>
      <c r="H47" s="7" t="inlineStr">
        <is>
          <t>London</t>
        </is>
      </c>
      <c r="I47" s="7" t="inlineStr">
        <is>
          <t>LSE campus</t>
        </is>
      </c>
      <c r="J47" s="7" t="inlineStr">
        <is>
          <t>UK</t>
        </is>
      </c>
      <c r="K47" s="7" t="inlineStr">
        <is>
          <t>UK</t>
        </is>
      </c>
      <c r="L47" s="7" t="inlineStr">
        <is>
          <t>Campus session</t>
        </is>
      </c>
      <c r="M47" s="7" t="inlineStr">
        <is>
          <t>In-person</t>
        </is>
      </c>
      <c r="N47" s="7" t="inlineStr">
        <is>
          <t>EN</t>
        </is>
      </c>
      <c r="O47" s="7" t="inlineStr">
        <is>
          <t>Guest company</t>
        </is>
      </c>
      <c r="P47" s="7" t="inlineStr">
        <is>
          <t>Past</t>
        </is>
      </c>
      <c r="Q47" s="7" t="inlineStr">
        <is>
          <t>Confirmed (Instagram)</t>
        </is>
      </c>
      <c r="R47" s="7" t="inlineStr">
        <is>
          <t>Company presentation / recruiting session</t>
        </is>
      </c>
      <c r="S47" s="7" t="inlineStr">
        <is>
          <t>Students (German-speaking, business/economics)</t>
        </is>
      </c>
      <c r="T47" s="7" t="inlineStr">
        <is>
          <t>—</t>
        </is>
      </c>
      <c r="U47" s="7" t="inlineStr">
        <is>
          <t>—</t>
        </is>
      </c>
      <c r="V47" s="7" t="inlineStr">
        <is>
          <t>—</t>
        </is>
      </c>
      <c r="W47" s="7" t="inlineStr">
        <is>
          <t>UK grad-recruiting touchpoint</t>
        </is>
      </c>
      <c r="X47" s="7" t="inlineStr">
        <is>
          <t>https://www.instagram.com/p/DVwODALCA6V</t>
        </is>
      </c>
    </row>
    <row r="48">
      <c r="A48" s="6" t="n">
        <v>47</v>
      </c>
      <c r="B48" s="6" t="inlineStr">
        <is>
          <t>ProcureCon East 2026</t>
        </is>
      </c>
      <c r="C48" s="6" t="inlineStr">
        <is>
          <t>ProcureCon</t>
        </is>
      </c>
      <c r="D48" s="6" t="inlineStr">
        <is>
          <t>Sponsorship / exhibition</t>
        </is>
      </c>
      <c r="E48" s="6" t="inlineStr">
        <is>
          <t>WBR</t>
        </is>
      </c>
      <c r="F48" s="6" t="n">
        <v>2026</v>
      </c>
      <c r="G48" s="6" t="inlineStr">
        <is>
          <t>Sep 28–30, 2026</t>
        </is>
      </c>
      <c r="H48" s="6" t="inlineStr">
        <is>
          <t>Boston</t>
        </is>
      </c>
      <c r="I48" s="6" t="inlineStr">
        <is>
          <t>Westin Copley Place</t>
        </is>
      </c>
      <c r="J48" s="6" t="inlineStr">
        <is>
          <t>US</t>
        </is>
      </c>
      <c r="K48" s="6" t="inlineStr">
        <is>
          <t>US</t>
        </is>
      </c>
      <c r="L48" s="6" t="inlineStr">
        <is>
          <t>Conference</t>
        </is>
      </c>
      <c r="M48" s="6" t="inlineStr">
        <is>
          <t>In-person</t>
        </is>
      </c>
      <c r="N48" s="6" t="inlineStr">
        <is>
          <t>EN</t>
        </is>
      </c>
      <c r="O48" s="6" t="inlineStr">
        <is>
          <t>LEAD SPONSOR (1 of 36 sponsors)</t>
        </is>
      </c>
      <c r="P48" s="6" t="inlineStr">
        <is>
          <t>Upcoming</t>
        </is>
      </c>
      <c r="Q48" s="6" t="inlineStr">
        <is>
          <t>Confirmed</t>
        </is>
      </c>
      <c r="R48" s="6" t="inlineStr">
        <is>
          <t>Flagship US indirect-procurement conference (EPIC Awards announced here)</t>
        </is>
      </c>
      <c r="S48" s="6" t="inlineStr">
        <is>
          <t>400+ senior procurement professionals, majority director-level+; enterprise + mid-market</t>
        </is>
      </c>
      <c r="T48" s="6" t="inlineStr">
        <is>
          <t>400+</t>
        </is>
      </c>
      <c r="U48" s="6" t="inlineStr">
        <is>
          <t>Co-sponsors incl. Amazon Business, Coupa, GEP, SAP, Zycus</t>
        </is>
      </c>
      <c r="V48" s="6" t="inlineStr">
        <is>
          <t>—</t>
        </is>
      </c>
      <c r="W48" s="6" t="inlineStr">
        <is>
          <t>Biggest US sponsorship commitment to date — Lead Sponsor tier alongside the incumbents Lio positions against</t>
        </is>
      </c>
      <c r="X48" s="6" t="inlineStr">
        <is>
          <t>https://procureconeast.wbresearch.com/sponsors</t>
        </is>
      </c>
    </row>
    <row r="49">
      <c r="A49" s="7" t="n">
        <v>48</v>
      </c>
      <c r="B49" s="7" t="inlineStr">
        <is>
          <t>DPW Amsterdam 2026</t>
        </is>
      </c>
      <c r="C49" s="7" t="inlineStr">
        <is>
          <t>DPW</t>
        </is>
      </c>
      <c r="D49" s="7" t="inlineStr">
        <is>
          <t>Sponsorship / exhibition</t>
        </is>
      </c>
      <c r="E49" s="7" t="inlineStr">
        <is>
          <t>DPW</t>
        </is>
      </c>
      <c r="F49" s="7" t="n">
        <v>2026</v>
      </c>
      <c r="G49" s="7" t="inlineStr">
        <is>
          <t>Sep 30 – Oct 1, 2026</t>
        </is>
      </c>
      <c r="H49" s="7" t="inlineStr">
        <is>
          <t>Amsterdam</t>
        </is>
      </c>
      <c r="I49" s="7" t="inlineStr">
        <is>
          <t>RAI Amsterdam</t>
        </is>
      </c>
      <c r="J49" s="7" t="inlineStr">
        <is>
          <t>NL</t>
        </is>
      </c>
      <c r="K49" s="7" t="inlineStr">
        <is>
          <t>EU</t>
        </is>
      </c>
      <c r="L49" s="7" t="inlineStr">
        <is>
          <t>Conference</t>
        </is>
      </c>
      <c r="M49" s="7" t="inlineStr">
        <is>
          <t>Hybrid</t>
        </is>
      </c>
      <c r="N49" s="7" t="inlineStr">
        <is>
          <t>EN</t>
        </is>
      </c>
      <c r="O49" s="7" t="inlineStr">
        <is>
          <t>Not yet listed (likely sponsor; defending-champion visibility)</t>
        </is>
      </c>
      <c r="P49" s="7" t="inlineStr">
        <is>
          <t>Upcoming</t>
        </is>
      </c>
      <c r="Q49" s="7" t="inlineStr">
        <is>
          <t>Unconfirmed</t>
        </is>
      </c>
      <c r="R49" s="7" t="inlineStr">
        <is>
          <t>Flagship returns at bigger venue; 2,500+ attendee target; DPW Awards ceremony Oct 1</t>
        </is>
      </c>
      <c r="S49" s="7" t="inlineStr">
        <is>
          <t>2,500+ target, 70+ countries; CPO/VP-heavy + startup ecosystem</t>
        </is>
      </c>
      <c r="T49" s="7" t="inlineStr">
        <is>
          <t>2,500+ (target)</t>
        </is>
      </c>
      <c r="U49" s="7" t="inlineStr">
        <is>
          <t>—</t>
        </is>
      </c>
      <c r="V49" s="7" t="inlineStr">
        <is>
          <t>—</t>
        </is>
      </c>
      <c r="W49" s="7" t="inlineStr">
        <is>
          <t>Lio now above the Growth-Stage ARR band ($2–10M) — would compete in a higher awards category if applying (2026 applications close Jul 24, 2026)</t>
        </is>
      </c>
      <c r="X49" s="7" t="inlineStr">
        <is>
          <t>https://conference.dpw.ai/awards/</t>
        </is>
      </c>
    </row>
    <row r="50">
      <c r="A50" s="6" t="n">
        <v>49</v>
      </c>
      <c r="B50" s="6" t="inlineStr">
        <is>
          <t>Bots &amp; Buyers NYC 2026</t>
        </is>
      </c>
      <c r="C50" s="6" t="inlineStr">
        <is>
          <t>Bots &amp; Buyers</t>
        </is>
      </c>
      <c r="D50" s="6" t="inlineStr">
        <is>
          <t>Own community flagship</t>
        </is>
      </c>
      <c r="E50" s="6" t="inlineStr">
        <is>
          <t>Lio</t>
        </is>
      </c>
      <c r="F50" s="6" t="n">
        <v>2026</v>
      </c>
      <c r="G50" s="6" t="inlineStr">
        <is>
          <t>Sep 23, 2026</t>
        </is>
      </c>
      <c r="H50" s="6" t="inlineStr">
        <is>
          <t>New York</t>
        </is>
      </c>
      <c r="I50" s="6" t="inlineStr">
        <is>
          <t>TBA</t>
        </is>
      </c>
      <c r="J50" s="6" t="inlineStr">
        <is>
          <t>US</t>
        </is>
      </c>
      <c r="K50" s="6" t="inlineStr">
        <is>
          <t>US</t>
        </is>
      </c>
      <c r="L50" s="6" t="inlineStr">
        <is>
          <t>Community summit</t>
        </is>
      </c>
      <c r="M50" s="6" t="inlineStr">
        <is>
          <t>In-person</t>
        </is>
      </c>
      <c r="N50" s="6" t="inlineStr">
        <is>
          <t>EN</t>
        </is>
      </c>
      <c r="O50" s="6" t="inlineStr">
        <is>
          <t>Host</t>
        </is>
      </c>
      <c r="P50" s="6" t="inlineStr">
        <is>
          <t>Upcoming</t>
        </is>
      </c>
      <c r="Q50" s="6" t="inlineStr">
        <is>
          <t>Confirmed (organizer-verified 2026-08-31)</t>
        </is>
      </c>
      <c r="R50" s="6" t="inlineStr">
        <is>
          <t>First US edition of the flagship community franchise — free and application-only: live agents, trainings, CPO panels, the Lio Awards</t>
        </is>
      </c>
      <c r="S50" s="6" t="inlineStr">
        <is>
          <t>500+ curated procurement leaders (application-only)</t>
        </is>
      </c>
      <c r="T50" s="6" t="inlineStr">
        <is>
          <t>500+ (curated)</t>
        </is>
      </c>
      <c r="U50" s="6" t="inlineStr">
        <is>
          <t>TBA</t>
        </is>
      </c>
      <c r="V50" s="6" t="inlineStr">
        <is>
          <t>TBA (US pod — Petras)</t>
        </is>
      </c>
      <c r="W50" s="6" t="inlineStr">
        <is>
          <t>Lands MID-GAUNTLET between ProcureCon Europe Cologne (Sep 22–24) and ProcureCon East Boston (Sep 28–30) — it competes for the US pod, not the DACH squad. Added 2026-08-31 on organizer verification; the franchise went transatlantic after this workbook was compiled.</t>
        </is>
      </c>
      <c r="X50" s="6" t="inlineStr">
        <is>
          <t>https://lio.ai/events</t>
        </is>
      </c>
    </row>
  </sheetData>
  <autoFilter ref="A1:X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55" customWidth="1" min="3" max="3"/>
    <col width="40" customWidth="1" min="4" max="4"/>
    <col width="26" customWidth="1" min="5" max="5"/>
    <col width="12" customWidth="1" min="6" max="6"/>
  </cols>
  <sheetData>
    <row r="1">
      <c r="A1" s="8" t="inlineStr">
        <is>
          <t>Event Categorization &amp; Funnel Logic</t>
        </is>
      </c>
    </row>
    <row r="2">
      <c r="A2" s="9" t="inlineStr">
        <is>
          <t>Counts are live formulas over the Events Master tab.</t>
        </is>
      </c>
    </row>
    <row r="3"/>
    <row r="4">
      <c r="A4" s="5" t="inlineStr">
        <is>
          <t>Category</t>
        </is>
      </c>
      <c r="B4" s="5" t="inlineStr">
        <is>
          <t>Events in bucket</t>
        </is>
      </c>
      <c r="C4" s="5" t="inlineStr">
        <is>
          <t>Strategic purpose</t>
        </is>
      </c>
      <c r="D4" s="5" t="inlineStr">
        <is>
          <t>Who is in the room</t>
        </is>
      </c>
      <c r="E4" s="5" t="inlineStr">
        <is>
          <t>Funnel role</t>
        </is>
      </c>
      <c r="F4" s="5" t="inlineStr">
        <is>
          <t>Count (live)</t>
        </is>
      </c>
    </row>
    <row r="5">
      <c r="A5" s="7" t="inlineStr">
        <is>
          <t>Own community flagship</t>
        </is>
      </c>
      <c r="B5" s="7" t="inlineStr">
        <is>
          <t>Bots &amp; Buyers (4 editions: 2025, Clubhouse 2026, The Summit 2026, US 2026)</t>
        </is>
      </c>
      <c r="C5" s="7" t="inlineStr">
        <is>
          <t>Category creation + product feedback + pipeline warm-up; puts prospects in a room with Lio engineers and live agents</t>
        </is>
      </c>
      <c r="D5" s="7" t="inlineStr">
        <is>
          <t>Invited procurement leaders of European (soon US) enterprises</t>
        </is>
      </c>
      <c r="E5" s="7" t="inlineStr">
        <is>
          <t>Demand gen / community (top + mid funnel)</t>
        </is>
      </c>
      <c r="F5" s="7">
        <f>COUNTIF('Events Master'!$D$2:$D$50,A5)</f>
        <v/>
      </c>
    </row>
    <row r="6">
      <c r="A6" s="6" t="inlineStr">
        <is>
          <t>Own executive dinner</t>
        </is>
      </c>
      <c r="B6" s="6" t="inlineStr">
        <is>
          <t>CPO Dinners (Miami, NYC) + The Lio Principals (Düsseldorf, London)</t>
        </is>
      </c>
      <c r="C6" s="6" t="inlineStr">
        <is>
          <t>ABM: 8–20 C-level guests, conference-sidecar timing, Walmart/a16z halo</t>
        </is>
      </c>
      <c r="D6" s="6" t="inlineStr">
        <is>
          <t>CPOs &amp; senior procurement execs of Global 2000</t>
        </is>
      </c>
      <c r="E6" s="6" t="inlineStr">
        <is>
          <t>ABM / late-funnel acceleration</t>
        </is>
      </c>
      <c r="F6" s="6">
        <f>COUNTIF('Events Master'!$D$2:$D$50,A6)</f>
        <v/>
      </c>
    </row>
    <row r="7">
      <c r="A7" s="7" t="inlineStr">
        <is>
          <t>Own webinar</t>
        </is>
      </c>
      <c r="B7" s="7" t="inlineStr">
        <is>
          <t>8 sessions Apr–May 2026 in strict DE/EN pairs (Future of AI Agents, Radical Simplicity, BPO to Bots, Stop Leaking Savings)</t>
        </is>
      </c>
      <c r="C7" s="7" t="inlineStr">
        <is>
          <t>Content engine mirroring the newsroom pillars; captures mid-funnel interest in both core languages</t>
        </is>
      </c>
      <c r="D7" s="7" t="inlineStr">
        <is>
          <t>Procurement teams, ops/GBS leaders, requesters</t>
        </is>
      </c>
      <c r="E7" s="7" t="inlineStr">
        <is>
          <t>Mid-funnel nurture</t>
        </is>
      </c>
      <c r="F7" s="7">
        <f>COUNTIF('Events Master'!$D$2:$D$50,A7)</f>
        <v/>
      </c>
    </row>
    <row r="8">
      <c r="A8" s="6" t="inlineStr">
        <is>
          <t>Own technical/GTM community</t>
        </is>
      </c>
      <c r="B8" s="6" t="inlineStr">
        <is>
          <t>FDE Night, Agentic AI Hackathon, a16z GTM Fireside (all TBA)</t>
        </is>
      </c>
      <c r="C8" s="6" t="inlineStr">
        <is>
          <t>Employer brand + engineering credibility + founder-scene positioning</t>
        </is>
      </c>
      <c r="D8" s="6" t="inlineStr">
        <is>
          <t>Engineers, FDEs, founders, operators</t>
        </is>
      </c>
      <c r="E8" s="6" t="inlineStr">
        <is>
          <t>Talent + brand</t>
        </is>
      </c>
      <c r="F8" s="6">
        <f>COUNTIF('Events Master'!$D$2:$D$50,A8)</f>
        <v/>
      </c>
    </row>
    <row r="9">
      <c r="A9" s="7" t="inlineStr">
        <is>
          <t>Sponsorship / exhibition</t>
        </is>
      </c>
      <c r="B9" s="7" t="inlineStr">
        <is>
          <t>DPW NY (booth 10), BME eLösungstage 25/26, ProcureCon East (LEAD sponsor), Procurement Summit (C09), WPC, NAPES, Handelsblatt, KonnectHouse FFM, ProcureCon Connect US, DPW Ams 26</t>
        </is>
      </c>
      <c r="C9" s="7" t="inlineStr">
        <is>
          <t>Booth presence where buying committees congregate; escalating tiers (lead sponsor at ProcureCon East)</t>
        </is>
      </c>
      <c r="D9" s="7" t="inlineStr">
        <is>
          <t>Conference-specific — see Events Master</t>
        </is>
      </c>
      <c r="E9" s="7" t="inlineStr">
        <is>
          <t>Awareness + lead gen</t>
        </is>
      </c>
      <c r="F9" s="7">
        <f>COUNTIF('Events Master'!$D$2:$D$50,A9)</f>
        <v/>
      </c>
    </row>
    <row r="10">
      <c r="A10" s="6" t="inlineStr">
        <is>
          <t>Speaker / thought leadership</t>
        </is>
      </c>
      <c r="B10" s="6" t="inlineStr">
        <is>
          <t>Keil roadshow: ProcureCon West/Connect, SSOW, APC, P&amp;SC LIVE, Procurement Summit 24/25, KonnectHouse NYC, webinars-as-guest</t>
        </is>
      </c>
      <c r="C10" s="6" t="inlineStr">
        <is>
          <t>One repeatable keynote ('Humans vs. AI Agents: Who Runs Procurement in 2026?') delivered across every major stage; CEO as category evangelist</t>
        </is>
      </c>
      <c r="D10" s="6" t="inlineStr">
        <is>
          <t>CPO-to-practitioner depending on stage</t>
        </is>
      </c>
      <c r="E10" s="6" t="inlineStr">
        <is>
          <t>Authority + demand gen</t>
        </is>
      </c>
      <c r="F10" s="6">
        <f>COUNTIF('Events Master'!$D$2:$D$50,A10)</f>
        <v/>
      </c>
    </row>
    <row r="11">
      <c r="A11" s="7" t="inlineStr">
        <is>
          <t>Award / recognition</t>
        </is>
      </c>
      <c r="B11" s="7" t="inlineStr">
        <is>
          <t>DPW Growth Stage Award 2025, BME Excellence Award 2024 (with REHAU), Digital-Gipfel Gründungspreis 2023, VivaTech Top 100 2026</t>
        </is>
      </c>
      <c r="C11" s="7" t="inlineStr">
        <is>
          <t>Third-party validation ladder: government prize → association award with customer → industry award by CPO jury → European ranking</t>
        </is>
      </c>
      <c r="D11" s="7" t="inlineStr">
        <is>
          <t>Juries of CPOs, ministries, ecosystem</t>
        </is>
      </c>
      <c r="E11" s="7" t="inlineStr">
        <is>
          <t>Credibility / social proof</t>
        </is>
      </c>
      <c r="F11" s="7">
        <f>COUNTIF('Events Master'!$D$2:$D$50,A11)</f>
        <v/>
      </c>
    </row>
    <row r="12">
      <c r="A12" s="6" t="inlineStr">
        <is>
          <t>Private roundtable / ABM</t>
        </is>
      </c>
      <c r="B12" s="6" t="inlineStr">
        <is>
          <t>World 50 Procurement Accelerator</t>
        </is>
      </c>
      <c r="C12" s="6" t="inlineStr">
        <is>
          <t>Ultra-curated access to Fortune 500 procurement execs</t>
        </is>
      </c>
      <c r="D12" s="6" t="inlineStr">
        <is>
          <t>World 50 member executives</t>
        </is>
      </c>
      <c r="E12" s="6" t="inlineStr">
        <is>
          <t>ABM (highest tier)</t>
        </is>
      </c>
      <c r="F12" s="6">
        <f>COUNTIF('Events Master'!$D$2:$D$50,A12)</f>
        <v/>
      </c>
    </row>
    <row r="13">
      <c r="A13" s="7" t="inlineStr">
        <is>
          <t>Accelerator / program</t>
        </is>
      </c>
      <c r="B13" s="7" t="inlineStr">
        <is>
          <t>Y Combinator S23</t>
        </is>
      </c>
      <c r="C13" s="7" t="inlineStr">
        <is>
          <t>Origin credential; still used in every bio and job ad</t>
        </is>
      </c>
      <c r="D13" s="7" t="inlineStr">
        <is>
          <t>Investors</t>
        </is>
      </c>
      <c r="E13" s="7" t="inlineStr">
        <is>
          <t>Fundraise / brand</t>
        </is>
      </c>
      <c r="F13" s="7">
        <f>COUNTIF('Events Master'!$D$2:$D$50,A13)</f>
        <v/>
      </c>
    </row>
    <row r="14">
      <c r="A14" s="6" t="inlineStr">
        <is>
          <t>Campus / talent</t>
        </is>
      </c>
      <c r="B14" s="6" t="inlineStr">
        <is>
          <t>TUM.ai E-Lab, LSESU German Society</t>
        </is>
      </c>
      <c r="C14" s="6" t="inlineStr">
        <is>
          <t>Graduate talent pipeline in Munich + London</t>
        </is>
      </c>
      <c r="D14" s="6" t="inlineStr">
        <is>
          <t>Students</t>
        </is>
      </c>
      <c r="E14" s="6" t="inlineStr">
        <is>
          <t>Recruiting</t>
        </is>
      </c>
      <c r="F14" s="6">
        <f>COUNTIF('Events Master'!$D$2:$D$50,A14)</f>
        <v/>
      </c>
    </row>
    <row r="15">
      <c r="A15" s="10" t="inlineStr">
        <is>
          <t>TOTAL</t>
        </is>
      </c>
      <c r="F15" s="10">
        <f>SUM(F5:F14)</f>
        <v/>
      </c>
    </row>
    <row r="16"/>
    <row r="17">
      <c r="A17" s="11" t="inlineStr">
        <is>
          <t>Counts by region</t>
        </is>
      </c>
    </row>
    <row r="18">
      <c r="A18" t="inlineStr">
        <is>
          <t>DACH</t>
        </is>
      </c>
      <c r="B18">
        <f>COUNTIF('Events Master'!$K$2:$K$50,A18)</f>
        <v/>
      </c>
    </row>
    <row r="19">
      <c r="A19" t="inlineStr">
        <is>
          <t>US</t>
        </is>
      </c>
      <c r="B19">
        <f>COUNTIF('Events Master'!$K$2:$K$50,A19)</f>
        <v/>
      </c>
    </row>
    <row r="20">
      <c r="A20" t="inlineStr">
        <is>
          <t>EU</t>
        </is>
      </c>
      <c r="B20">
        <f>COUNTIF('Events Master'!$K$2:$K$50,A20)</f>
        <v/>
      </c>
    </row>
    <row r="21">
      <c r="A21" t="inlineStr">
        <is>
          <t>UK</t>
        </is>
      </c>
      <c r="B21">
        <f>COUNTIF('Events Master'!$K$2:$K$50,A21)</f>
        <v/>
      </c>
    </row>
    <row r="22">
      <c r="A22" t="inlineStr">
        <is>
          <t>Online</t>
        </is>
      </c>
      <c r="B22">
        <f>COUNTIF('Events Master'!$K$2:$K$50,A22)</f>
        <v/>
      </c>
    </row>
    <row r="23"/>
    <row r="24">
      <c r="A24" s="11" t="inlineStr">
        <is>
          <t>Counts by year</t>
        </is>
      </c>
    </row>
    <row r="25">
      <c r="A25" t="inlineStr">
        <is>
          <t>2023</t>
        </is>
      </c>
      <c r="B25">
        <f>COUNTIF('Events Master'!$F$2:$F$50,2023)</f>
        <v/>
      </c>
    </row>
    <row r="26">
      <c r="A26" t="inlineStr">
        <is>
          <t>2024</t>
        </is>
      </c>
      <c r="B26">
        <f>COUNTIF('Events Master'!$F$2:$F$50,2024)</f>
        <v/>
      </c>
    </row>
    <row r="27">
      <c r="A27" t="inlineStr">
        <is>
          <t>2025</t>
        </is>
      </c>
      <c r="B27">
        <f>COUNTIF('Events Master'!$F$2:$F$50,2025)</f>
        <v/>
      </c>
    </row>
    <row r="28">
      <c r="A28" t="inlineStr">
        <is>
          <t>2026</t>
        </is>
      </c>
      <c r="B28">
        <f>COUNTIF('Events Master'!$F$2:$F$50,2026)</f>
        <v/>
      </c>
    </row>
    <row r="29"/>
    <row r="30">
      <c r="A30" s="11" t="inlineStr">
        <is>
          <t>Counts by status</t>
        </is>
      </c>
    </row>
    <row r="31">
      <c r="A31" t="inlineStr">
        <is>
          <t>Past</t>
        </is>
      </c>
      <c r="B31">
        <f>COUNTIF('Events Master'!$P$2:$P$50,A31)</f>
        <v/>
      </c>
    </row>
    <row r="32">
      <c r="A32" t="inlineStr">
        <is>
          <t>Upcoming</t>
        </is>
      </c>
      <c r="B32">
        <f>COUNTIF('Events Master'!$P$2:$P$50,A32)</f>
        <v/>
      </c>
    </row>
    <row r="33">
      <c r="A33" t="inlineStr">
        <is>
          <t>Announced (TBA)</t>
        </is>
      </c>
      <c r="B33">
        <f>COUNTIF('Events Master'!$P$2:$P$50,A33)</f>
        <v/>
      </c>
    </row>
    <row r="34"/>
    <row r="35">
      <c r="A35" s="11" t="inlineStr">
        <is>
          <t>Read of the pattern</t>
        </is>
      </c>
    </row>
    <row r="36" ht="45" customHeight="1">
      <c r="A36" s="3" t="inlineStr">
        <is>
          <t>2023–2024: credibility building (YC, government prize, first German speaker slots). 2025: DACH trade-fair presence + first own event + DPW award. 2026: full-scale dual-track machine — US blitz (9+ US events in H1 2026 vs zero before Nov 2025) + DACH defense + own franchises scaling to 2-day summit.</t>
        </is>
      </c>
    </row>
    <row r="37" ht="45" customHeight="1">
      <c r="A37" s="3" t="inlineStr">
        <is>
          <t>Signature play: conference-sidecar private dinners (NAPES→Miami dinner, DPW NY→NYC dinner, BME→Düsseldorf dinner, WPC→London dinner) — buy the audience aggregation, own the intimate conversation.</t>
        </is>
      </c>
    </row>
    <row r="38" ht="45" customHeight="1">
      <c r="A38" s="3" t="inlineStr">
        <is>
          <t>Every US speaker slot carries the same keynote title ('Humans vs. AI Agents…') and the SSOW titles are undisguised BPO-displacement pitches ('Your BPO Costs 93% Too Much') — event strategy = distribution for exactly two messages: agent workforce + BPO replacement.</t>
        </is>
      </c>
    </row>
  </sheetData>
  <mergeCells count="3">
    <mergeCell ref="A37:E37"/>
    <mergeCell ref="A36:E36"/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24" customWidth="1" min="4" max="4"/>
    <col width="22" customWidth="1" min="5" max="5"/>
    <col width="14" customWidth="1" min="6" max="6"/>
    <col width="26" customWidth="1" min="7" max="7"/>
    <col width="12" customWidth="1" min="8" max="8"/>
    <col width="60" customWidth="1" min="9" max="9"/>
    <col width="30" customWidth="1" min="10" max="10"/>
  </cols>
  <sheetData>
    <row r="1">
      <c r="A1" s="8" t="inlineStr">
        <is>
          <t>Companies in Lio's orbit — firmographics</t>
        </is>
      </c>
    </row>
    <row r="2">
      <c r="A2" s="12" t="inlineStr">
        <is>
          <t>Block 1 = verified (sources cited). Block 2 = Clubhouse-event attendees, industry classification only — NOT independently verified. Revenue: ins. rev. = insurance revenue (IFRS 17).</t>
        </is>
      </c>
    </row>
    <row r="4">
      <c r="A4" s="5" t="inlineStr">
        <is>
          <t>Company</t>
        </is>
      </c>
      <c r="B4" s="5" t="inlineStr">
        <is>
          <t>Relationship</t>
        </is>
      </c>
      <c r="C4" s="5" t="inlineStr">
        <is>
          <t>Industry</t>
        </is>
      </c>
      <c r="D4" s="5" t="inlineStr">
        <is>
          <t>HQ</t>
        </is>
      </c>
      <c r="E4" s="5" t="inlineStr">
        <is>
          <t>Revenue (latest)</t>
        </is>
      </c>
      <c r="F4" s="5" t="inlineStr">
        <is>
          <t>Employees</t>
        </is>
      </c>
      <c r="G4" s="5" t="inlineStr">
        <is>
          <t>Ownership</t>
        </is>
      </c>
      <c r="H4" s="5" t="inlineStr">
        <is>
          <t>Revenue band</t>
        </is>
      </c>
      <c r="I4" s="5" t="inlineStr">
        <is>
          <t>Notes</t>
        </is>
      </c>
      <c r="J4" s="5" t="inlineStr">
        <is>
          <t>Source</t>
        </is>
      </c>
    </row>
    <row r="5">
      <c r="A5" s="7" t="inlineStr">
        <is>
          <t>Munich Re</t>
        </is>
      </c>
      <c r="B5" s="7" t="inlineStr">
        <is>
          <t>Customer (flagship)</t>
        </is>
      </c>
      <c r="C5" s="7" t="inlineStr">
        <is>
          <t>Reinsurance / insurance</t>
        </is>
      </c>
      <c r="D5" s="7" t="inlineStr">
        <is>
          <t>Munich, DE</t>
        </is>
      </c>
      <c r="E5" s="7" t="inlineStr">
        <is>
          <t>€60.4B ins. rev. (2025)</t>
        </is>
      </c>
      <c r="F5" s="7" t="inlineStr">
        <is>
          <t>~44,000</t>
        </is>
      </c>
      <c r="G5" s="7" t="inlineStr">
        <is>
          <t>Listed (DAX)</t>
        </is>
      </c>
      <c r="H5" s="7" t="inlineStr">
        <is>
          <t>€20B+</t>
        </is>
      </c>
      <c r="I5" s="7" t="inlineStr">
        <is>
          <t>'World's largest reinsurer'; parent of ERGO; 100% indirect spend</t>
        </is>
      </c>
      <c r="J5" s="7" t="inlineStr">
        <is>
          <t>munichre.com media release 2026-02-26</t>
        </is>
      </c>
    </row>
    <row r="6">
      <c r="A6" s="6" t="inlineStr">
        <is>
          <t>Schaeffler</t>
        </is>
      </c>
      <c r="B6" s="6" t="inlineStr">
        <is>
          <t>Customer (COO testimonial)</t>
        </is>
      </c>
      <c r="C6" s="6" t="inlineStr">
        <is>
          <t>Automotive &amp; industrial supplier</t>
        </is>
      </c>
      <c r="D6" s="6" t="inlineStr">
        <is>
          <t>Herzogenaurach, DE</t>
        </is>
      </c>
      <c r="E6" s="6" t="inlineStr">
        <is>
          <t>€23.5B (2025)</t>
        </is>
      </c>
      <c r="F6" s="6" t="inlineStr">
        <is>
          <t>110,753</t>
        </is>
      </c>
      <c r="G6" s="6" t="inlineStr">
        <is>
          <t>Listed; family-controlled</t>
        </is>
      </c>
      <c r="H6" s="6" t="inlineStr">
        <is>
          <t>€20B+</t>
        </is>
      </c>
      <c r="I6" s="6" t="inlineStr">
        <is>
          <t>COO Andreas Schick quote; post-Vitesco merger; co-development MOU per LinkedIn</t>
        </is>
      </c>
      <c r="J6" s="6" t="inlineStr">
        <is>
          <t>schaeffler.com PR</t>
        </is>
      </c>
    </row>
    <row r="7">
      <c r="A7" s="7" t="inlineStr">
        <is>
          <t>ERGO Group</t>
        </is>
      </c>
      <c r="B7" s="7" t="inlineStr">
        <is>
          <t>Customer</t>
        </is>
      </c>
      <c r="C7" s="7" t="inlineStr">
        <is>
          <t>Primary insurance</t>
        </is>
      </c>
      <c r="D7" s="7" t="inlineStr">
        <is>
          <t>Düsseldorf, DE</t>
        </is>
      </c>
      <c r="E7" s="7" t="inlineStr">
        <is>
          <t>€20.8B ins. rev. (2024)</t>
        </is>
      </c>
      <c r="F7" s="7" t="inlineStr">
        <is>
          <t>~37,000</t>
        </is>
      </c>
      <c r="G7" s="7" t="inlineStr">
        <is>
          <t>Munich Re subsidiary</t>
        </is>
      </c>
      <c r="H7" s="7" t="inlineStr">
        <is>
          <t>€20B+</t>
        </is>
      </c>
      <c r="I7" s="7" t="inlineStr">
        <is>
          <t>Customer instance ergo.asklio.ai observed</t>
        </is>
      </c>
      <c r="J7" s="7" t="inlineStr">
        <is>
          <t>ergo.com facts &amp; figures</t>
        </is>
      </c>
    </row>
    <row r="8">
      <c r="A8" s="6" t="inlineStr">
        <is>
          <t>Zeiss</t>
        </is>
      </c>
      <c r="B8" s="6" t="inlineStr">
        <is>
          <t>Customer (logo)</t>
        </is>
      </c>
      <c r="C8" s="6" t="inlineStr">
        <is>
          <t>Optics / photonics / semicon equipment</t>
        </is>
      </c>
      <c r="D8" s="6" t="inlineStr">
        <is>
          <t>Oberkochen, DE</t>
        </is>
      </c>
      <c r="E8" s="6" t="inlineStr">
        <is>
          <t>€11.9B (FY2024/25)</t>
        </is>
      </c>
      <c r="F8" s="6" t="inlineStr">
        <is>
          <t>~46,600</t>
        </is>
      </c>
      <c r="G8" s="6" t="inlineStr">
        <is>
          <t>Foundation-owned</t>
        </is>
      </c>
      <c r="H8" s="6" t="inlineStr">
        <is>
          <t>€5–20B</t>
        </is>
      </c>
      <c r="I8" s="6" t="inlineStr"/>
      <c r="J8" s="6" t="inlineStr">
        <is>
          <t>zeiss.com PR</t>
        </is>
      </c>
    </row>
    <row r="9">
      <c r="A9" s="7" t="inlineStr">
        <is>
          <t>Mahle</t>
        </is>
      </c>
      <c r="B9" s="7" t="inlineStr">
        <is>
          <t>Customer (logo)</t>
        </is>
      </c>
      <c r="C9" s="7" t="inlineStr">
        <is>
          <t>Automotive parts</t>
        </is>
      </c>
      <c r="D9" s="7" t="inlineStr">
        <is>
          <t>Stuttgart, DE</t>
        </is>
      </c>
      <c r="E9" s="7" t="inlineStr">
        <is>
          <t>€11.7B (2024)</t>
        </is>
      </c>
      <c r="F9" s="7" t="inlineStr">
        <is>
          <t>~67,700</t>
        </is>
      </c>
      <c r="G9" s="7" t="inlineStr">
        <is>
          <t>Foundation-owned</t>
        </is>
      </c>
      <c r="H9" s="7" t="inlineStr">
        <is>
          <t>€5–20B</t>
        </is>
      </c>
      <c r="I9" s="7" t="inlineStr">
        <is>
          <t>ICE-transition cost pressure</t>
        </is>
      </c>
      <c r="J9" s="7" t="inlineStr">
        <is>
          <t>globaldata / Wikipedia</t>
        </is>
      </c>
    </row>
    <row r="10">
      <c r="A10" s="6" t="inlineStr">
        <is>
          <t>Brose</t>
        </is>
      </c>
      <c r="B10" s="6" t="inlineStr">
        <is>
          <t>Customer (named in Series A PR)</t>
        </is>
      </c>
      <c r="C10" s="6" t="inlineStr">
        <is>
          <t>Automotive mechatronics</t>
        </is>
      </c>
      <c r="D10" s="6" t="inlineStr">
        <is>
          <t>Coburg, DE</t>
        </is>
      </c>
      <c r="E10" s="6" t="inlineStr">
        <is>
          <t>€7.7B (2024)</t>
        </is>
      </c>
      <c r="F10" s="6" t="inlineStr">
        <is>
          <t>~30,000–33,000</t>
        </is>
      </c>
      <c r="G10" s="6" t="inlineStr">
        <is>
          <t>Family-owned</t>
        </is>
      </c>
      <c r="H10" s="6" t="inlineStr">
        <is>
          <t>€5–20B</t>
        </is>
      </c>
      <c r="I10" s="6" t="inlineStr">
        <is>
          <t>Top-5 family-owned auto supplier</t>
        </is>
      </c>
      <c r="J10" s="6" t="inlineStr">
        <is>
          <t>brose.com PR</t>
        </is>
      </c>
    </row>
    <row r="11">
      <c r="A11" s="7" t="inlineStr">
        <is>
          <t>Bilfinger</t>
        </is>
      </c>
      <c r="B11" s="7" t="inlineStr">
        <is>
          <t>Customer (logo)</t>
        </is>
      </c>
      <c r="C11" s="7" t="inlineStr">
        <is>
          <t>Industrial services</t>
        </is>
      </c>
      <c r="D11" s="7" t="inlineStr">
        <is>
          <t>Mannheim, DE</t>
        </is>
      </c>
      <c r="E11" s="7" t="inlineStr">
        <is>
          <t>€5.43B (2025)</t>
        </is>
      </c>
      <c r="F11" s="7" t="inlineStr">
        <is>
          <t>~30,600</t>
        </is>
      </c>
      <c r="G11" s="7" t="inlineStr">
        <is>
          <t>Listed</t>
        </is>
      </c>
      <c r="H11" s="7" t="inlineStr">
        <is>
          <t>€5–20B</t>
        </is>
      </c>
      <c r="I11" s="7" t="inlineStr">
        <is>
          <t>CPO speaks at Handelsblatt CPO Summit</t>
        </is>
      </c>
      <c r="J11" s="7" t="inlineStr">
        <is>
          <t>bilfinger.com PR</t>
        </is>
      </c>
    </row>
    <row r="12">
      <c r="A12" s="6" t="inlineStr">
        <is>
          <t>Diehl</t>
        </is>
      </c>
      <c r="B12" s="6" t="inlineStr">
        <is>
          <t>Customer (logo)</t>
        </is>
      </c>
      <c r="C12" s="6" t="inlineStr">
        <is>
          <t>Defence / aviation / metering</t>
        </is>
      </c>
      <c r="D12" s="6" t="inlineStr">
        <is>
          <t>Nuremberg, DE</t>
        </is>
      </c>
      <c r="E12" s="6" t="inlineStr">
        <is>
          <t>€4.7B (2024)</t>
        </is>
      </c>
      <c r="F12" s="6" t="inlineStr">
        <is>
          <t>~18,700</t>
        </is>
      </c>
      <c r="G12" s="6" t="inlineStr">
        <is>
          <t>Family-owned</t>
        </is>
      </c>
      <c r="H12" s="6" t="inlineStr">
        <is>
          <t>€1–5B</t>
        </is>
      </c>
      <c r="I12" s="6" t="inlineStr">
        <is>
          <t>Defence boom; compliance-heavy procurement</t>
        </is>
      </c>
      <c r="J12" s="6" t="inlineStr">
        <is>
          <t>diehl.com PR</t>
        </is>
      </c>
    </row>
    <row r="13">
      <c r="A13" s="7" t="inlineStr">
        <is>
          <t>Galenica</t>
        </is>
      </c>
      <c r="B13" s="7" t="inlineStr">
        <is>
          <t>Customer (logo)</t>
        </is>
      </c>
      <c r="C13" s="7" t="inlineStr">
        <is>
          <t>Pharmacy retail &amp; wholesale</t>
        </is>
      </c>
      <c r="D13" s="7" t="inlineStr">
        <is>
          <t>Bern, CH</t>
        </is>
      </c>
      <c r="E13" s="7" t="inlineStr">
        <is>
          <t>CHF 4.14B (2025)</t>
        </is>
      </c>
      <c r="F13" s="7" t="inlineStr">
        <is>
          <t>~7,900</t>
        </is>
      </c>
      <c r="G13" s="7" t="inlineStr">
        <is>
          <t>Listed (SIX)</t>
        </is>
      </c>
      <c r="H13" s="7" t="inlineStr">
        <is>
          <t>€1–5B</t>
        </is>
      </c>
      <c r="I13" s="7" t="inlineStr">
        <is>
          <t>Swiss market leader</t>
        </is>
      </c>
      <c r="J13" s="7" t="inlineStr">
        <is>
          <t>report.galenica.com</t>
        </is>
      </c>
    </row>
    <row r="14">
      <c r="A14" s="6" t="inlineStr">
        <is>
          <t>Novonesis (Novozymes)</t>
        </is>
      </c>
      <c r="B14" s="6" t="inlineStr">
        <is>
          <t>Customer (named in Series A PR)</t>
        </is>
      </c>
      <c r="C14" s="6" t="inlineStr">
        <is>
          <t>Biosolutions</t>
        </is>
      </c>
      <c r="D14" s="6" t="inlineStr">
        <is>
          <t>Copenhagen, DK</t>
        </is>
      </c>
      <c r="E14" s="6" t="inlineStr">
        <is>
          <t>~€4.05B (2025)</t>
        </is>
      </c>
      <c r="F14" s="6" t="inlineStr">
        <is>
          <t>~11,820</t>
        </is>
      </c>
      <c r="G14" s="6" t="inlineStr">
        <is>
          <t>Listed; Novo Holdings anchor</t>
        </is>
      </c>
      <c r="H14" s="6" t="inlineStr">
        <is>
          <t>€1–5B</t>
        </is>
      </c>
      <c r="I14" s="6" t="inlineStr">
        <is>
          <t>Only Nordic logo</t>
        </is>
      </c>
      <c r="J14" s="6" t="inlineStr">
        <is>
          <t>novonesis.com PR</t>
        </is>
      </c>
    </row>
    <row r="15">
      <c r="A15" s="7" t="inlineStr">
        <is>
          <t>TÜV SÜD</t>
        </is>
      </c>
      <c r="B15" s="7" t="inlineStr">
        <is>
          <t>Customer (testimonial)</t>
        </is>
      </c>
      <c r="C15" s="7" t="inlineStr">
        <is>
          <t>Testing / inspection / certification</t>
        </is>
      </c>
      <c r="D15" s="7" t="inlineStr">
        <is>
          <t>Munich, DE</t>
        </is>
      </c>
      <c r="E15" s="7" t="inlineStr">
        <is>
          <t>€3.4B (2024)</t>
        </is>
      </c>
      <c r="F15" s="7" t="inlineStr">
        <is>
          <t>~30,000</t>
        </is>
      </c>
      <c r="G15" s="7" t="inlineStr">
        <is>
          <t>Foundation/association-owned</t>
        </is>
      </c>
      <c r="H15" s="7" t="inlineStr">
        <is>
          <t>€1–5B</t>
        </is>
      </c>
      <c r="I15" s="7" t="inlineStr">
        <is>
          <t>Anna Tillmann quote (Lio Assistant knowledge base); Handelsblatt advertorial case</t>
        </is>
      </c>
      <c r="J15" s="7" t="inlineStr">
        <is>
          <t>tuvsud.com PR</t>
        </is>
      </c>
    </row>
    <row r="16">
      <c r="A16" s="6" t="inlineStr">
        <is>
          <t>ams-OSRAM</t>
        </is>
      </c>
      <c r="B16" s="6" t="inlineStr">
        <is>
          <t>Customer (logo)</t>
        </is>
      </c>
      <c r="C16" s="6" t="inlineStr">
        <is>
          <t>Optical semiconductors</t>
        </is>
      </c>
      <c r="D16" s="6" t="inlineStr">
        <is>
          <t>Premstätten, AT / Munich</t>
        </is>
      </c>
      <c r="E16" s="6" t="inlineStr">
        <is>
          <t>€3.3B (2025)</t>
        </is>
      </c>
      <c r="F16" s="6" t="inlineStr">
        <is>
          <t>~19,000</t>
        </is>
      </c>
      <c r="G16" s="6" t="inlineStr">
        <is>
          <t>Listed (SIX)</t>
        </is>
      </c>
      <c r="H16" s="6" t="inlineStr">
        <is>
          <t>€1–5B</t>
        </is>
      </c>
      <c r="I16" s="6" t="inlineStr">
        <is>
          <t>Restructuring → savings-receptive</t>
        </is>
      </c>
      <c r="J16" s="6" t="inlineStr">
        <is>
          <t>ams-osram.com PR</t>
        </is>
      </c>
    </row>
    <row r="17">
      <c r="A17" s="7" t="inlineStr">
        <is>
          <t>REHAU</t>
        </is>
      </c>
      <c r="B17" s="7" t="inlineStr">
        <is>
          <t>Customer (award case)</t>
        </is>
      </c>
      <c r="C17" s="7" t="inlineStr">
        <is>
          <t>Polymer processing</t>
        </is>
      </c>
      <c r="D17" s="7" t="inlineStr">
        <is>
          <t>Muri bei Bern, CH</t>
        </is>
      </c>
      <c r="E17" s="7" t="inlineStr">
        <is>
          <t>~€3B (est.)</t>
        </is>
      </c>
      <c r="F17" s="7" t="inlineStr">
        <is>
          <t>~20,000</t>
        </is>
      </c>
      <c r="G17" s="7" t="inlineStr">
        <is>
          <t>Family-owned</t>
        </is>
      </c>
      <c r="H17" s="7" t="inlineStr">
        <is>
          <t>€1–5B</t>
        </is>
      </c>
      <c r="I17" s="7" t="inlineStr">
        <is>
          <t>BME Excellence Award 2024 with askLio; value 4.5x cost, 150+ locations</t>
        </is>
      </c>
      <c r="J17" s="7" t="inlineStr">
        <is>
          <t>rehau.com / bme.de</t>
        </is>
      </c>
    </row>
    <row r="18">
      <c r="A18" s="6" t="inlineStr">
        <is>
          <t>Dormakaba</t>
        </is>
      </c>
      <c r="B18" s="6" t="inlineStr">
        <is>
          <t>Customer (logo)</t>
        </is>
      </c>
      <c r="C18" s="6" t="inlineStr">
        <is>
          <t>Access solutions</t>
        </is>
      </c>
      <c r="D18" s="6" t="inlineStr">
        <is>
          <t>Rümlang, CH</t>
        </is>
      </c>
      <c r="E18" s="6" t="inlineStr">
        <is>
          <t>CHF 2.87B (FY2024/25)</t>
        </is>
      </c>
      <c r="F18" s="6" t="inlineStr">
        <is>
          <t>~15,350</t>
        </is>
      </c>
      <c r="G18" s="6" t="inlineStr">
        <is>
          <t>Listed; family anchor</t>
        </is>
      </c>
      <c r="H18" s="6" t="inlineStr">
        <is>
          <t>€1–5B</t>
        </is>
      </c>
      <c r="I18" s="6" t="inlineStr">
        <is>
          <t>World #3 access solutions; also Clubhouse attendee</t>
        </is>
      </c>
      <c r="J18" s="6" t="inlineStr">
        <is>
          <t>report.dormakaba.com</t>
        </is>
      </c>
    </row>
    <row r="19">
      <c r="A19" s="7" t="inlineStr">
        <is>
          <t>Schott</t>
        </is>
      </c>
      <c r="B19" s="7" t="inlineStr">
        <is>
          <t>Customer (logo)</t>
        </is>
      </c>
      <c r="C19" s="7" t="inlineStr">
        <is>
          <t>Specialty glass</t>
        </is>
      </c>
      <c r="D19" s="7" t="inlineStr">
        <is>
          <t>Mainz, DE</t>
        </is>
      </c>
      <c r="E19" s="7" t="inlineStr">
        <is>
          <t>€2.83B (FY2025)</t>
        </is>
      </c>
      <c r="F19" s="7" t="inlineStr">
        <is>
          <t>~17,400</t>
        </is>
      </c>
      <c r="G19" s="7" t="inlineStr">
        <is>
          <t>Foundation-owned</t>
        </is>
      </c>
      <c r="H19" s="7" t="inlineStr">
        <is>
          <t>€1–5B</t>
        </is>
      </c>
      <c r="I19" s="7" t="inlineStr">
        <is>
          <t>Sister of Zeiss; also Clubhouse attendee</t>
        </is>
      </c>
      <c r="J19" s="7" t="inlineStr">
        <is>
          <t>schott.com PR</t>
        </is>
      </c>
    </row>
    <row r="20">
      <c r="A20" s="6" t="inlineStr">
        <is>
          <t>AL-KO Vehicle Technology</t>
        </is>
      </c>
      <c r="B20" s="6" t="inlineStr">
        <is>
          <t>Customer (subdomain observed)</t>
        </is>
      </c>
      <c r="C20" s="6" t="inlineStr">
        <is>
          <t>Trailer chassis / RV components</t>
        </is>
      </c>
      <c r="D20" s="6" t="inlineStr">
        <is>
          <t>Kötz, DE</t>
        </is>
      </c>
      <c r="E20" s="6" t="inlineStr">
        <is>
          <t>~€740M (est.)</t>
        </is>
      </c>
      <c r="F20" s="6" t="inlineStr">
        <is>
          <t>~3,000</t>
        </is>
      </c>
      <c r="G20" s="6" t="inlineStr">
        <is>
          <t>PE-owned (DexKo / KPS)</t>
        </is>
      </c>
      <c r="H20" s="6" t="inlineStr">
        <is>
          <t>&lt;€1B</t>
        </is>
      </c>
      <c r="I20" s="6" t="inlineStr">
        <is>
          <t>Customer instance alko.asklio.ai; only PE-owned logo</t>
        </is>
      </c>
      <c r="J20" s="6" t="inlineStr">
        <is>
          <t>alko-tech.com / prospeo.io</t>
        </is>
      </c>
    </row>
    <row r="21">
      <c r="A21" s="7" t="inlineStr">
        <is>
          <t>Förster (identity unverified)</t>
        </is>
      </c>
      <c r="B21" s="7" t="inlineStr">
        <is>
          <t>Customer (logo)</t>
        </is>
      </c>
      <c r="C21" s="7" t="inlineStr">
        <is>
          <t>Likely NDT instruments (FOERSTER Group)</t>
        </is>
      </c>
      <c r="D21" s="7" t="inlineStr">
        <is>
          <t>Reutlingen, DE (likely)</t>
        </is>
      </c>
      <c r="E21" s="7" t="inlineStr">
        <is>
          <t>~€100M (2017, est.)</t>
        </is>
      </c>
      <c r="F21" s="7" t="inlineStr">
        <is>
          <t>~500–1,000 (est.)</t>
        </is>
      </c>
      <c r="G21" s="7" t="inlineStr">
        <is>
          <t>Family-owned</t>
        </is>
      </c>
      <c r="H21" s="7" t="inlineStr">
        <is>
          <t>&lt;€1B</t>
        </is>
      </c>
      <c r="I21" s="7" t="inlineStr">
        <is>
          <t>Logo reads 'Förster'; best match FOERSTER Group but NOT conclusively verified</t>
        </is>
      </c>
      <c r="J21" s="7" t="inlineStr">
        <is>
          <t>die-deutsche-wirtschaft.de</t>
        </is>
      </c>
    </row>
    <row r="22">
      <c r="A22" s="6" t="inlineStr">
        <is>
          <t>Walmart</t>
        </is>
      </c>
      <c r="B22" s="6" t="inlineStr">
        <is>
          <t>Engagement / endorser (NOT confirmed customer)</t>
        </is>
      </c>
      <c r="C22" s="6" t="inlineStr">
        <is>
          <t>Retail</t>
        </is>
      </c>
      <c r="D22" s="6" t="inlineStr">
        <is>
          <t>Bentonville, US</t>
        </is>
      </c>
      <c r="E22" s="6" t="inlineStr">
        <is>
          <t>$713B (FY2026)</t>
        </is>
      </c>
      <c r="F22" s="6" t="inlineStr">
        <is>
          <t>~2.1M</t>
        </is>
      </c>
      <c r="G22" s="6" t="inlineStr">
        <is>
          <t>Listed; Walton family ~45%</t>
        </is>
      </c>
      <c r="H22" s="6" t="inlineStr">
        <is>
          <t>€20B+</t>
        </is>
      </c>
      <c r="I22" s="6" t="inlineStr">
        <is>
          <t>2-year engagement; Petras hired from Walmart as Head of US Growth; KonnectHouse published Walmart Global Tech x askLio partnership piece</t>
        </is>
      </c>
      <c r="J22" s="6" t="inlineStr">
        <is>
          <t>sec.gov 10-K FY2026</t>
        </is>
      </c>
    </row>
    <row r="23">
      <c r="A23" s="7" t="inlineStr">
        <is>
          <t>BASF</t>
        </is>
      </c>
      <c r="B23" s="7" t="inlineStr">
        <is>
          <t>Event attendee / partnership signal</t>
        </is>
      </c>
      <c r="C23" s="7" t="inlineStr">
        <is>
          <t>Chemicals</t>
        </is>
      </c>
      <c r="D23" s="7" t="inlineStr">
        <is>
          <t>Ludwigshafen, DE</t>
        </is>
      </c>
      <c r="E23" s="7" t="inlineStr">
        <is>
          <t>€59.7B (2025)</t>
        </is>
      </c>
      <c r="F23" s="7" t="inlineStr">
        <is>
          <t>~108,000</t>
        </is>
      </c>
      <c r="G23" s="7" t="inlineStr">
        <is>
          <t>Listed (DAX)</t>
        </is>
      </c>
      <c r="H23" s="7" t="inlineStr">
        <is>
          <t>€20B+</t>
        </is>
      </c>
      <c r="I23" s="7" t="inlineStr">
        <is>
          <t>Clubhouse attendee; BASF Coatings partnership per LinkedIn; Handelsblatt Summit speaker</t>
        </is>
      </c>
      <c r="J23" s="7" t="inlineStr">
        <is>
          <t>basf.com PR</t>
        </is>
      </c>
    </row>
    <row r="24">
      <c r="A24" s="6" t="inlineStr">
        <is>
          <t>Lufthansa Group</t>
        </is>
      </c>
      <c r="B24" s="6" t="inlineStr">
        <is>
          <t>Event attendee</t>
        </is>
      </c>
      <c r="C24" s="6" t="inlineStr">
        <is>
          <t>Aviation</t>
        </is>
      </c>
      <c r="D24" s="6" t="inlineStr">
        <is>
          <t>Cologne/Frankfurt, DE</t>
        </is>
      </c>
      <c r="E24" s="6" t="inlineStr">
        <is>
          <t>€39.6B (2025)</t>
        </is>
      </c>
      <c r="F24" s="6" t="inlineStr">
        <is>
          <t>~103,255</t>
        </is>
      </c>
      <c r="G24" s="6" t="inlineStr">
        <is>
          <t>Listed (MDAX)</t>
        </is>
      </c>
      <c r="H24" s="6" t="inlineStr">
        <is>
          <t>€20B+</t>
        </is>
      </c>
      <c r="I24" s="6" t="inlineStr">
        <is>
          <t>Clubhouse attendee; huge indirect + MRO spend</t>
        </is>
      </c>
      <c r="J24" s="6" t="inlineStr">
        <is>
          <t>lufthansagroup newsroom</t>
        </is>
      </c>
    </row>
    <row r="25">
      <c r="A25" s="7" t="inlineStr">
        <is>
          <t>Deutsche Bahn</t>
        </is>
      </c>
      <c r="B25" s="7" t="inlineStr">
        <is>
          <t>Event attendee / pilot</t>
        </is>
      </c>
      <c r="C25" s="7" t="inlineStr">
        <is>
          <t>Rail / mobility</t>
        </is>
      </c>
      <c r="D25" s="7" t="inlineStr">
        <is>
          <t>Berlin, DE</t>
        </is>
      </c>
      <c r="E25" s="7" t="inlineStr">
        <is>
          <t>~€27B expected (2025)</t>
        </is>
      </c>
      <c r="F25" s="7" t="inlineStr">
        <is>
          <t>~200,000+</t>
        </is>
      </c>
      <c r="G25" s="7" t="inlineStr">
        <is>
          <t>German state-owned</t>
        </is>
      </c>
      <c r="H25" s="7" t="inlineStr">
        <is>
          <t>€20B+</t>
        </is>
      </c>
      <c r="I25" s="7" t="inlineStr">
        <is>
          <t>Clubhouse attendee; pilot 'Loom' per LinkedIn; public-procurement rules</t>
        </is>
      </c>
      <c r="J25" s="7" t="inlineStr">
        <is>
          <t>railway.supply / DB IR</t>
        </is>
      </c>
    </row>
    <row r="26">
      <c r="A26" s="6" t="inlineStr">
        <is>
          <t>Nemetschek</t>
        </is>
      </c>
      <c r="B26" s="6" t="inlineStr">
        <is>
          <t>Event attendee</t>
        </is>
      </c>
      <c r="C26" s="6" t="inlineStr">
        <is>
          <t>AEC software</t>
        </is>
      </c>
      <c r="D26" s="6" t="inlineStr">
        <is>
          <t>Munich, DE</t>
        </is>
      </c>
      <c r="E26" s="6" t="inlineStr">
        <is>
          <t>€1.19B (2025)</t>
        </is>
      </c>
      <c r="F26" s="6" t="inlineStr">
        <is>
          <t>~4,100</t>
        </is>
      </c>
      <c r="G26" s="6" t="inlineStr">
        <is>
          <t>Listed; family/foundation anchor</t>
        </is>
      </c>
      <c r="H26" s="6" t="inlineStr">
        <is>
          <t>€1–5B</t>
        </is>
      </c>
      <c r="I26" s="6" t="inlineStr">
        <is>
          <t>Munich neighbor; Clubhouse attendee</t>
        </is>
      </c>
      <c r="J26" s="6" t="inlineStr">
        <is>
          <t>nemetschek.com PR</t>
        </is>
      </c>
    </row>
    <row r="28">
      <c r="A28" s="13" t="inlineStr">
        <is>
          <t>Block 2 — Clubhouse Edition attendees (Jun 2026), industry classification only — figures NOT verified in this pass</t>
        </is>
      </c>
    </row>
    <row r="29">
      <c r="A29" s="5" t="inlineStr">
        <is>
          <t>Company</t>
        </is>
      </c>
      <c r="B29" s="5" t="inlineStr">
        <is>
          <t>Relationship</t>
        </is>
      </c>
      <c r="C29" s="5" t="inlineStr">
        <is>
          <t>Industry (commonly known)</t>
        </is>
      </c>
      <c r="D29" s="5" t="inlineStr">
        <is>
          <t>HQ</t>
        </is>
      </c>
      <c r="E29" s="5" t="inlineStr"/>
      <c r="F29" s="5" t="inlineStr"/>
      <c r="G29" s="5" t="inlineStr"/>
      <c r="H29" s="5" t="inlineStr"/>
      <c r="I29" s="5" t="inlineStr">
        <is>
          <t>Notes</t>
        </is>
      </c>
      <c r="J29" s="5" t="inlineStr"/>
    </row>
    <row r="30">
      <c r="A30" s="6" t="inlineStr">
        <is>
          <t>Benteler</t>
        </is>
      </c>
      <c r="B30" s="6" t="inlineStr">
        <is>
          <t>Event attendee (Clubhouse)</t>
        </is>
      </c>
      <c r="C30" s="6" t="inlineStr">
        <is>
          <t>Automotive &amp; steel/tube</t>
        </is>
      </c>
      <c r="D30" s="6" t="inlineStr">
        <is>
          <t>Salzburg, AT / Paderborn, DE</t>
        </is>
      </c>
      <c r="E30" s="6" t="inlineStr">
        <is>
          <t>n/v</t>
        </is>
      </c>
      <c r="F30" s="6" t="inlineStr">
        <is>
          <t>n/v</t>
        </is>
      </c>
      <c r="G30" s="6" t="inlineStr">
        <is>
          <t>n/v</t>
        </is>
      </c>
      <c r="H30" s="6" t="inlineStr">
        <is>
          <t>n/v</t>
        </is>
      </c>
      <c r="I30" s="6" t="inlineStr">
        <is>
          <t>Family-owned; multi-€B auto supplier</t>
        </is>
      </c>
      <c r="J30" s="6" t="inlineStr">
        <is>
          <t>lio.ai/bots-buyers-clubhouse-edition</t>
        </is>
      </c>
    </row>
    <row r="31">
      <c r="A31" s="7" t="inlineStr">
        <is>
          <t>Breuninger</t>
        </is>
      </c>
      <c r="B31" s="7" t="inlineStr">
        <is>
          <t>Event attendee (Clubhouse)</t>
        </is>
      </c>
      <c r="C31" s="7" t="inlineStr">
        <is>
          <t>Premium department-store retail</t>
        </is>
      </c>
      <c r="D31" s="7" t="inlineStr">
        <is>
          <t>Stuttgart, DE</t>
        </is>
      </c>
      <c r="E31" s="7" t="inlineStr">
        <is>
          <t>n/v</t>
        </is>
      </c>
      <c r="F31" s="7" t="inlineStr">
        <is>
          <t>n/v</t>
        </is>
      </c>
      <c r="G31" s="7" t="inlineStr">
        <is>
          <t>n/v</t>
        </is>
      </c>
      <c r="H31" s="7" t="inlineStr">
        <is>
          <t>n/v</t>
        </is>
      </c>
      <c r="I31" s="7" t="inlineStr">
        <is>
          <t>Acquired by CVC-led consortium (2024)</t>
        </is>
      </c>
      <c r="J31" s="7" t="inlineStr">
        <is>
          <t>lio.ai/bots-buyers-clubhouse-edition</t>
        </is>
      </c>
    </row>
    <row r="32">
      <c r="A32" s="6" t="inlineStr">
        <is>
          <t>FlixBus / Flix</t>
        </is>
      </c>
      <c r="B32" s="6" t="inlineStr">
        <is>
          <t>Event attendee (Clubhouse)</t>
        </is>
      </c>
      <c r="C32" s="6" t="inlineStr">
        <is>
          <t>Mobility platform (bus/rail)</t>
        </is>
      </c>
      <c r="D32" s="6" t="inlineStr">
        <is>
          <t>Munich, DE</t>
        </is>
      </c>
      <c r="E32" s="6" t="inlineStr">
        <is>
          <t>n/v</t>
        </is>
      </c>
      <c r="F32" s="6" t="inlineStr">
        <is>
          <t>n/v</t>
        </is>
      </c>
      <c r="G32" s="6" t="inlineStr">
        <is>
          <t>n/v</t>
        </is>
      </c>
      <c r="H32" s="6" t="inlineStr">
        <is>
          <t>n/v</t>
        </is>
      </c>
      <c r="I32" s="6" t="inlineStr">
        <is>
          <t>VC/PE-backed scale-up</t>
        </is>
      </c>
      <c r="J32" s="6" t="inlineStr">
        <is>
          <t>lio.ai/bots-buyers-clubhouse-edition</t>
        </is>
      </c>
    </row>
    <row r="33">
      <c r="A33" s="7" t="inlineStr">
        <is>
          <t>IMS Gear</t>
        </is>
      </c>
      <c r="B33" s="7" t="inlineStr">
        <is>
          <t>Event attendee (Clubhouse)</t>
        </is>
      </c>
      <c r="C33" s="7" t="inlineStr">
        <is>
          <t>Gear/actuator components</t>
        </is>
      </c>
      <c r="D33" s="7" t="inlineStr">
        <is>
          <t>Donaueschingen, DE</t>
        </is>
      </c>
      <c r="E33" s="7" t="inlineStr">
        <is>
          <t>n/v</t>
        </is>
      </c>
      <c r="F33" s="7" t="inlineStr">
        <is>
          <t>n/v</t>
        </is>
      </c>
      <c r="G33" s="7" t="inlineStr">
        <is>
          <t>n/v</t>
        </is>
      </c>
      <c r="H33" s="7" t="inlineStr">
        <is>
          <t>n/v</t>
        </is>
      </c>
      <c r="I33" s="7" t="inlineStr">
        <is>
          <t>Family-owned Mittelstand</t>
        </is>
      </c>
      <c r="J33" s="7" t="inlineStr">
        <is>
          <t>lio.ai/bots-buyers-clubhouse-edition</t>
        </is>
      </c>
    </row>
    <row r="34">
      <c r="A34" s="6" t="inlineStr">
        <is>
          <t>NEW AG</t>
        </is>
      </c>
      <c r="B34" s="6" t="inlineStr">
        <is>
          <t>Event attendee (Clubhouse)</t>
        </is>
      </c>
      <c r="C34" s="6" t="inlineStr">
        <is>
          <t>Regional utility</t>
        </is>
      </c>
      <c r="D34" s="6" t="inlineStr">
        <is>
          <t>Mönchengladbach, DE</t>
        </is>
      </c>
      <c r="E34" s="6" t="inlineStr">
        <is>
          <t>n/v</t>
        </is>
      </c>
      <c r="F34" s="6" t="inlineStr">
        <is>
          <t>n/v</t>
        </is>
      </c>
      <c r="G34" s="6" t="inlineStr">
        <is>
          <t>n/v</t>
        </is>
      </c>
      <c r="H34" s="6" t="inlineStr">
        <is>
          <t>n/v</t>
        </is>
      </c>
      <c r="I34" s="6" t="inlineStr">
        <is>
          <t>Municipal-anchored</t>
        </is>
      </c>
      <c r="J34" s="6" t="inlineStr">
        <is>
          <t>lio.ai/bots-buyers-clubhouse-edition</t>
        </is>
      </c>
    </row>
    <row r="35">
      <c r="A35" s="7" t="inlineStr">
        <is>
          <t>Pfalzwerke</t>
        </is>
      </c>
      <c r="B35" s="7" t="inlineStr">
        <is>
          <t>Event attendee (Clubhouse)</t>
        </is>
      </c>
      <c r="C35" s="7" t="inlineStr">
        <is>
          <t>Regional utility / energy</t>
        </is>
      </c>
      <c r="D35" s="7" t="inlineStr">
        <is>
          <t>Ludwigshafen, DE</t>
        </is>
      </c>
      <c r="E35" s="7" t="inlineStr">
        <is>
          <t>n/v</t>
        </is>
      </c>
      <c r="F35" s="7" t="inlineStr">
        <is>
          <t>n/v</t>
        </is>
      </c>
      <c r="G35" s="7" t="inlineStr">
        <is>
          <t>n/v</t>
        </is>
      </c>
      <c r="H35" s="7" t="inlineStr">
        <is>
          <t>n/v</t>
        </is>
      </c>
      <c r="I35" s="7" t="inlineStr">
        <is>
          <t>Municipal/regional shareholders</t>
        </is>
      </c>
      <c r="J35" s="7" t="inlineStr">
        <is>
          <t>lio.ai/bots-buyers-clubhouse-edition</t>
        </is>
      </c>
    </row>
    <row r="36">
      <c r="A36" s="6" t="inlineStr">
        <is>
          <t>Scheidt &amp; Bachmann</t>
        </is>
      </c>
      <c r="B36" s="6" t="inlineStr">
        <is>
          <t>Event attendee (Clubhouse)</t>
        </is>
      </c>
      <c r="C36" s="6" t="inlineStr">
        <is>
          <t>Fare collection / parking / signalling systems</t>
        </is>
      </c>
      <c r="D36" s="6" t="inlineStr">
        <is>
          <t>Mönchengladbach, DE</t>
        </is>
      </c>
      <c r="E36" s="6" t="inlineStr">
        <is>
          <t>n/v</t>
        </is>
      </c>
      <c r="F36" s="6" t="inlineStr">
        <is>
          <t>n/v</t>
        </is>
      </c>
      <c r="G36" s="6" t="inlineStr">
        <is>
          <t>n/v</t>
        </is>
      </c>
      <c r="H36" s="6" t="inlineStr">
        <is>
          <t>n/v</t>
        </is>
      </c>
      <c r="I36" s="6" t="inlineStr">
        <is>
          <t>Family-owned</t>
        </is>
      </c>
      <c r="J36" s="6" t="inlineStr">
        <is>
          <t>lio.ai/bots-buyers-clubhouse-edition</t>
        </is>
      </c>
    </row>
    <row r="37">
      <c r="A37" s="7" t="inlineStr">
        <is>
          <t>Seidel</t>
        </is>
      </c>
      <c r="B37" s="7" t="inlineStr">
        <is>
          <t>Event attendee (Clubhouse)</t>
        </is>
      </c>
      <c r="C37" s="7" t="inlineStr">
        <is>
          <t>Metal packaging (cosmetics) — likely Seidel GmbH</t>
        </is>
      </c>
      <c r="D37" s="7" t="inlineStr">
        <is>
          <t>Marburg, DE (likely)</t>
        </is>
      </c>
      <c r="E37" s="7" t="inlineStr">
        <is>
          <t>n/v</t>
        </is>
      </c>
      <c r="F37" s="7" t="inlineStr">
        <is>
          <t>n/v</t>
        </is>
      </c>
      <c r="G37" s="7" t="inlineStr">
        <is>
          <t>n/v</t>
        </is>
      </c>
      <c r="H37" s="7" t="inlineStr">
        <is>
          <t>n/v</t>
        </is>
      </c>
      <c r="I37" s="7" t="inlineStr">
        <is>
          <t>Identity not fully verified</t>
        </is>
      </c>
      <c r="J37" s="7" t="inlineStr">
        <is>
          <t>lio.ai/bots-buyers-clubhouse-edition</t>
        </is>
      </c>
    </row>
    <row r="38">
      <c r="A38" s="6" t="inlineStr">
        <is>
          <t>Speira</t>
        </is>
      </c>
      <c r="B38" s="6" t="inlineStr">
        <is>
          <t>Event attendee (Clubhouse)</t>
        </is>
      </c>
      <c r="C38" s="6" t="inlineStr">
        <is>
          <t>Aluminium rolling &amp; recycling</t>
        </is>
      </c>
      <c r="D38" s="6" t="inlineStr">
        <is>
          <t>Grevenbroich, DE</t>
        </is>
      </c>
      <c r="E38" s="6" t="inlineStr">
        <is>
          <t>n/v</t>
        </is>
      </c>
      <c r="F38" s="6" t="inlineStr">
        <is>
          <t>n/v</t>
        </is>
      </c>
      <c r="G38" s="6" t="inlineStr">
        <is>
          <t>n/v</t>
        </is>
      </c>
      <c r="H38" s="6" t="inlineStr">
        <is>
          <t>n/v</t>
        </is>
      </c>
      <c r="I38" s="6" t="inlineStr">
        <is>
          <t>PE-owned (KPS)</t>
        </is>
      </c>
      <c r="J38" s="6" t="inlineStr">
        <is>
          <t>lio.ai/bots-buyers-clubhouse-edition</t>
        </is>
      </c>
    </row>
    <row r="39">
      <c r="A39" s="7" t="inlineStr">
        <is>
          <t>SWM (Stadtwerke München)</t>
        </is>
      </c>
      <c r="B39" s="7" t="inlineStr">
        <is>
          <t>Event attendee (Clubhouse)</t>
        </is>
      </c>
      <c r="C39" s="7" t="inlineStr">
        <is>
          <t>Municipal utility</t>
        </is>
      </c>
      <c r="D39" s="7" t="inlineStr">
        <is>
          <t>Munich, DE</t>
        </is>
      </c>
      <c r="E39" s="7" t="inlineStr">
        <is>
          <t>n/v</t>
        </is>
      </c>
      <c r="F39" s="7" t="inlineStr">
        <is>
          <t>n/v</t>
        </is>
      </c>
      <c r="G39" s="7" t="inlineStr">
        <is>
          <t>n/v</t>
        </is>
      </c>
      <c r="H39" s="7" t="inlineStr">
        <is>
          <t>n/v</t>
        </is>
      </c>
      <c r="I39" s="7" t="inlineStr">
        <is>
          <t>City of Munich-owned</t>
        </is>
      </c>
      <c r="J39" s="7" t="inlineStr">
        <is>
          <t>lio.ai/bots-buyers-clubhouse-edition</t>
        </is>
      </c>
    </row>
    <row r="40">
      <c r="A40" s="6" t="inlineStr">
        <is>
          <t>SWMH (Süddeutscher Verlag)</t>
        </is>
      </c>
      <c r="B40" s="6" t="inlineStr">
        <is>
          <t>Event attendee (Clubhouse)</t>
        </is>
      </c>
      <c r="C40" s="6" t="inlineStr">
        <is>
          <t>Media holding</t>
        </is>
      </c>
      <c r="D40" s="6" t="inlineStr">
        <is>
          <t>Stuttgart/Munich, DE</t>
        </is>
      </c>
      <c r="E40" s="6" t="inlineStr">
        <is>
          <t>n/v</t>
        </is>
      </c>
      <c r="F40" s="6" t="inlineStr">
        <is>
          <t>n/v</t>
        </is>
      </c>
      <c r="G40" s="6" t="inlineStr">
        <is>
          <t>n/v</t>
        </is>
      </c>
      <c r="H40" s="6" t="inlineStr">
        <is>
          <t>n/v</t>
        </is>
      </c>
      <c r="I40" s="6" t="inlineStr">
        <is>
          <t>Private holding</t>
        </is>
      </c>
      <c r="J40" s="6" t="inlineStr">
        <is>
          <t>lio.ai/bots-buyers-clubhouse-edition</t>
        </is>
      </c>
    </row>
    <row r="41">
      <c r="A41" s="7" t="inlineStr">
        <is>
          <t>Toi Toi &amp; Dixi</t>
        </is>
      </c>
      <c r="B41" s="7" t="inlineStr">
        <is>
          <t>Event attendee (Clubhouse)</t>
        </is>
      </c>
      <c r="C41" s="7" t="inlineStr">
        <is>
          <t>Mobile sanitation services</t>
        </is>
      </c>
      <c r="D41" s="7" t="inlineStr">
        <is>
          <t>Ratingen, DE</t>
        </is>
      </c>
      <c r="E41" s="7" t="inlineStr">
        <is>
          <t>n/v</t>
        </is>
      </c>
      <c r="F41" s="7" t="inlineStr">
        <is>
          <t>n/v</t>
        </is>
      </c>
      <c r="G41" s="7" t="inlineStr">
        <is>
          <t>n/v</t>
        </is>
      </c>
      <c r="H41" s="7" t="inlineStr">
        <is>
          <t>n/v</t>
        </is>
      </c>
      <c r="I41" s="7" t="inlineStr">
        <is>
          <t>ADCO Group (family)</t>
        </is>
      </c>
      <c r="J41" s="7" t="inlineStr">
        <is>
          <t>lio.ai/bots-buyers-clubhouse-edition</t>
        </is>
      </c>
    </row>
    <row r="42">
      <c r="A42" s="6" t="inlineStr">
        <is>
          <t>Webasto</t>
        </is>
      </c>
      <c r="B42" s="6" t="inlineStr">
        <is>
          <t>Event attendee (Clubhouse)</t>
        </is>
      </c>
      <c r="C42" s="6" t="inlineStr">
        <is>
          <t>Automotive roofs / thermal / charging</t>
        </is>
      </c>
      <c r="D42" s="6" t="inlineStr">
        <is>
          <t>Stockdorf, DE</t>
        </is>
      </c>
      <c r="E42" s="6" t="inlineStr">
        <is>
          <t>n/v</t>
        </is>
      </c>
      <c r="F42" s="6" t="inlineStr">
        <is>
          <t>n/v</t>
        </is>
      </c>
      <c r="G42" s="6" t="inlineStr">
        <is>
          <t>n/v</t>
        </is>
      </c>
      <c r="H42" s="6" t="inlineStr">
        <is>
          <t>n/v</t>
        </is>
      </c>
      <c r="I42" s="6" t="inlineStr">
        <is>
          <t>Family-owned</t>
        </is>
      </c>
      <c r="J42" s="6" t="inlineStr">
        <is>
          <t>lio.ai/bots-buyers-clubhouse-edition</t>
        </is>
      </c>
    </row>
  </sheetData>
  <mergeCells count="1">
    <mergeCell ref="A28:J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30" customWidth="1" min="3" max="3"/>
    <col width="30" customWidth="1" min="4" max="4"/>
  </cols>
  <sheetData>
    <row r="1">
      <c r="A1" s="8" t="inlineStr">
        <is>
          <t>Lio ICP Analysis — pattern synthesis from events + customers + firmographics</t>
        </is>
      </c>
    </row>
    <row r="3">
      <c r="A3" s="14" t="inlineStr">
        <is>
          <t>1 · PRIMARY ICP — the DACH industrial backbone</t>
        </is>
      </c>
    </row>
    <row r="4">
      <c r="A4" s="2" t="inlineStr">
        <is>
          <t>Who</t>
        </is>
      </c>
      <c r="B4" s="3" t="inlineStr">
        <is>
          <t>German-speaking enterprise (DE/CH/AT), €2–12B revenue, 15,000–50,000 employees — the modal band of the current logo wall (8 of 17 logos sit in €1–5B, 4 in €5–20B)</t>
        </is>
      </c>
    </row>
    <row r="5">
      <c r="A5" s="2" t="inlineStr">
        <is>
          <t>Industry</t>
        </is>
      </c>
      <c r="B5" s="3" t="inlineStr">
        <is>
          <t>Automotive &amp; discrete manufacturing (Schaeffler, Brose, Mahle, Webasto, Benteler, IMS Gear, AL-KO, ams-OSRAM, Diehl, Dormakaba) + materials/optics/process (Zeiss, Schott, REHAU, Speira) — cost-down culture, EV-transition margin pressure makes '10% incremental savings' land</t>
        </is>
      </c>
    </row>
    <row r="6">
      <c r="A6" s="2" t="inlineStr">
        <is>
          <t>Ownership</t>
        </is>
      </c>
      <c r="B6" s="3" t="inlineStr">
        <is>
          <t>STANDOUT TRAIT: ~two-thirds family-, foundation-, or PE-owned (not free-float). Long-horizon owners, conviction-driven decisions (COO/CFO sponsor), conservative SAP-centric IT estates → 'overlay, don't replace' resonates</t>
        </is>
      </c>
    </row>
    <row r="7">
      <c r="A7" s="2" t="inlineStr">
        <is>
          <t>Systems</t>
        </is>
      </c>
      <c r="B7" s="3" t="inlineStr">
        <is>
          <t>SAP ERP baseline, often Ariba/Coupa present; 100+ person procurement functions; works councils (why 'give time back' framing + BPO-first displacement matters)</t>
        </is>
      </c>
    </row>
    <row r="8">
      <c r="A8" s="2" t="inlineStr">
        <is>
          <t>Buying center</t>
        </is>
      </c>
      <c r="B8" s="3" t="inlineStr">
        <is>
          <t>CPO (sponsor) + COO/CFO (economic buyer, BPO line) + Head of Procurement Excellence/Digitalization (champion) + CIO/CISO (gatekeeper: ISO 27001/GDPR/Azure-EU story)</t>
        </is>
      </c>
    </row>
    <row r="9">
      <c r="A9" s="14" t="inlineStr">
        <is>
          <t>2 · SECONDARY ICP — indirect-heavy financial services</t>
        </is>
      </c>
    </row>
    <row r="10">
      <c r="A10" s="2" t="inlineStr">
        <is>
          <t>Who</t>
        </is>
      </c>
      <c r="B10" s="3" t="inlineStr">
        <is>
          <t>Insurers/FS €20B+ (Munich Re, ERGO): 100% indirect spend, high willingness to pay for automation, low direct-materials complexity — fastest 'Agentic BPO' math</t>
        </is>
      </c>
    </row>
    <row r="11">
      <c r="A11" s="2" t="inlineStr">
        <is>
          <t>Signal</t>
        </is>
      </c>
      <c r="B11" s="3" t="inlineStr">
        <is>
          <t>2 of the 3 flagship named customers are insurance; services firms (TÜV SÜD, Bilfinger) rhyme with this profile</t>
        </is>
      </c>
    </row>
    <row r="12">
      <c r="A12" s="14" t="inlineStr">
        <is>
          <t>3 · EMERGING ICP — US Fortune 500 indirect (2026 push)</t>
        </is>
      </c>
    </row>
    <row r="13">
      <c r="A13" s="2" t="inlineStr">
        <is>
          <t>Who</t>
        </is>
      </c>
      <c r="B13" s="3" t="inlineStr">
        <is>
          <t>US enterprises with large GBS/BPO procurement operations — the SSOW Orlando audience; Walmart engagement + Petras hire as beachhead credibility</t>
        </is>
      </c>
    </row>
    <row r="14">
      <c r="A14" s="2" t="inlineStr">
        <is>
          <t>Evidence</t>
        </is>
      </c>
      <c r="B14" s="3" t="inlineStr">
        <is>
          <t>9+ US events in H1 2026 (vs zero pre-Nov 2025); NYC sales pod; ProcureCon East LEAD sponsorship (Sep 2026); DPW NY triple presence + private CPO dinner</t>
        </is>
      </c>
    </row>
    <row r="15">
      <c r="A15" s="14" t="inlineStr">
        <is>
          <t>4 · Utilities &amp; mobility — quiet fourth cluster</t>
        </is>
      </c>
    </row>
    <row r="16">
      <c r="A16" s="2" t="inlineStr">
        <is>
          <t>Who</t>
        </is>
      </c>
      <c r="B16" s="3" t="inlineStr">
        <is>
          <t>Clubhouse attendee mix reveals: SWM, NEW AG, Pfalzwerke (utilities), Deutsche Bahn, Lufthansa, FlixBus (mobility) — regulated, process-heavy, German, public-procurement-adjacent. Directional (event interest ≠ customers yet; DB is a named pilot)</t>
        </is>
      </c>
    </row>
    <row r="17">
      <c r="A17" s="14" t="inlineStr">
        <is>
          <t>5 · Where to find them (watering holes, ranked by Lio's own investment)</t>
        </is>
      </c>
    </row>
    <row r="18">
      <c r="A18" s="5" t="inlineStr">
        <is>
          <t>Watering hole</t>
        </is>
      </c>
      <c r="B18" s="5" t="inlineStr">
        <is>
          <t>Why it matters / audience</t>
        </is>
      </c>
    </row>
    <row r="19">
      <c r="A19" s="15" t="inlineStr">
        <is>
          <t>BME network (eLösungstage, Symposium, Excellence Award)</t>
        </is>
      </c>
      <c r="B19" s="7" t="inlineStr">
        <is>
          <t>13,000-member German association; ~1,000 at eLösungstage; the DACH operating layer (heads-of + managers). Lio: exhibitor 2025 → official partner 2026 + award 2024 + sidecar dinner</t>
        </is>
      </c>
      <c r="C19" s="16" t="n"/>
      <c r="D19" s="17" t="n"/>
    </row>
    <row r="20">
      <c r="A20" s="15" t="inlineStr">
        <is>
          <t>DPW (Amsterdam + New York)</t>
        </is>
      </c>
      <c r="B20" s="7" t="inlineStr">
        <is>
          <t>1,700–2,500 digital-procurement decision-makers, CPO/VP-heavy, €2.2K ticket; the transformation elite + VC/vendor ecosystem. Lio: 2025 award winner, 2026 NY sponsor+booth+speaker</t>
        </is>
      </c>
      <c r="C20" s="16" t="n"/>
      <c r="D20" s="17" t="n"/>
    </row>
    <row r="21">
      <c r="A21" s="15" t="inlineStr">
        <is>
          <t>Handelsblatt CPO Summit</t>
        </is>
      </c>
      <c r="B21" s="7" t="inlineStr">
        <is>
          <t>~150–250 German C-levels, €2.5K, Chatham House; highest CPO density in DE. Lio: calendar-listed sponsor + 2 placed articles</t>
        </is>
      </c>
      <c r="C21" s="16" t="n"/>
      <c r="D21" s="17" t="n"/>
    </row>
    <row r="22">
      <c r="A22" s="15" t="inlineStr">
        <is>
          <t>ProcureCon circuit (West, Connect EU/US, East)</t>
        </is>
      </c>
      <c r="B22" s="7" t="inlineStr">
        <is>
          <t>US indirect-procurement establishment, majority director+; Lio escalated to LEAD sponsor at East 2026 alongside SAP/Coupa/GEP</t>
        </is>
      </c>
      <c r="C22" s="16" t="n"/>
      <c r="D22" s="17" t="n"/>
    </row>
    <row r="23">
      <c r="A23" s="15" t="inlineStr">
        <is>
          <t>SSOW / SSON</t>
        </is>
      </c>
      <c r="B23" s="7" t="inlineStr">
        <is>
          <t>GBS/SSC/BPO buyers — the audience that owns the BPO line item Lio attacks ('Your BPO Costs 93% Too Much')</t>
        </is>
      </c>
      <c r="C23" s="16" t="n"/>
      <c r="D23" s="17" t="n"/>
    </row>
    <row r="24">
      <c r="A24" s="15" t="inlineStr">
        <is>
          <t>Procurement Leaders (WPC London, APC New Orleans, World 50)</t>
        </is>
      </c>
      <c r="B24" s="7" t="inlineStr">
        <is>
          <t>Most senior peer network; 70% director+; membership-gated ABM</t>
        </is>
      </c>
      <c r="C24" s="16" t="n"/>
      <c r="D24" s="17" t="n"/>
    </row>
    <row r="25">
      <c r="A25" s="15" t="inlineStr">
        <is>
          <t>Procurement Summit Hamburg</t>
        </is>
      </c>
      <c r="B25" s="7" t="inlineStr">
        <is>
          <t>~2,300 German practitioners; 3 consecutive years of Keil on stage — mid-market + enterprise DACH reach</t>
        </is>
      </c>
      <c r="C25" s="16" t="n"/>
      <c r="D25" s="17" t="n"/>
    </row>
    <row r="26">
      <c r="A26" s="15" t="inlineStr">
        <is>
          <t>Own franchises (Bots &amp; Buyers, dinners, webinars)</t>
        </is>
      </c>
      <c r="B26" s="7" t="inlineStr">
        <is>
          <t>The conversion layer: aggregate the above audiences into owned rooms (150→300 people; 2-day Summit Sep 2026)</t>
        </is>
      </c>
      <c r="C26" s="16" t="n"/>
      <c r="D26" s="17" t="n"/>
    </row>
    <row r="28">
      <c r="A28" s="14" t="inlineStr">
        <is>
          <t>6 · Strategic reads (consultant notes)</t>
        </is>
      </c>
    </row>
    <row r="29">
      <c r="A29" s="2" t="inlineStr">
        <is>
          <t>ARR triangulation</t>
        </is>
      </c>
      <c r="B29" s="3" t="inlineStr">
        <is>
          <t>DPW Growth Stage Award (Oct 2025) = $2–10M ARR band + VivaTech Top-100 criterion (Mar 2026) = ≥€5M ARR in 2025 + 'now above Growth-Stage band' for 2026 awards → best estimate ~€5–10M ARR end-2025, growing. No official figure exists.</t>
        </is>
      </c>
    </row>
    <row r="30">
      <c r="A30" s="2" t="inlineStr">
        <is>
          <t>Event strategy signature</t>
        </is>
      </c>
      <c r="B30" s="3" t="inlineStr">
        <is>
          <t>Conference-sidecar dinners: rent the audience aggregation (NAPES, DPW NY, BME, WPC), own the intimate room. Cheap, repeatable, C-level.</t>
        </is>
      </c>
    </row>
    <row r="31">
      <c r="A31" s="2" t="inlineStr">
        <is>
          <t>Message discipline</t>
        </is>
      </c>
      <c r="B31" s="3" t="inlineStr">
        <is>
          <t>One keynote title toured worldwide ('Humans vs. AI Agents: Who Runs Procurement in 2026?'); SSOW titles are naked BPO-displacement pitches. Two messages only: agent workforce + BPO replacement.</t>
        </is>
      </c>
    </row>
    <row r="32">
      <c r="A32" s="2" t="inlineStr">
        <is>
          <t>DE/EN pairing</t>
        </is>
      </c>
      <c r="B32" s="3" t="inlineStr">
        <is>
          <t>Every webinar shipped as a German + English twin — dual-market GTM run as a system, not translation afterthought.</t>
        </is>
      </c>
    </row>
    <row r="33">
      <c r="A33" s="2" t="inlineStr">
        <is>
          <t>ICP in one sentence</t>
        </is>
      </c>
      <c r="B33" s="3" t="inlineStr">
        <is>
          <t>A German-speaking (or US-GBS-heavy) enterprise of €2–20B revenue with an SAP estate, a 100+ person procurement function or BPO contract, long-horizon family/foundation ownership, whose CPO attends BME/DPW/Handelsblatt — reachable via exactly the circuit Lio sponsors, then converted in a Bots &amp; Buyers room or a Principals dinner.</t>
        </is>
      </c>
    </row>
  </sheetData>
  <mergeCells count="29">
    <mergeCell ref="B11:D11"/>
    <mergeCell ref="A17:D17"/>
    <mergeCell ref="B14:D14"/>
    <mergeCell ref="B23:D23"/>
    <mergeCell ref="B8:D8"/>
    <mergeCell ref="B13:D13"/>
    <mergeCell ref="B29:D29"/>
    <mergeCell ref="A28:D28"/>
    <mergeCell ref="B10:D10"/>
    <mergeCell ref="A9:D9"/>
    <mergeCell ref="B19:D19"/>
    <mergeCell ref="A15:D15"/>
    <mergeCell ref="B30:D30"/>
    <mergeCell ref="B6:D6"/>
    <mergeCell ref="B24:D24"/>
    <mergeCell ref="B20:D20"/>
    <mergeCell ref="B33:D33"/>
    <mergeCell ref="B5:D5"/>
    <mergeCell ref="B32:D32"/>
    <mergeCell ref="B4:D4"/>
    <mergeCell ref="B26:D26"/>
    <mergeCell ref="B7:D7"/>
    <mergeCell ref="B25:D25"/>
    <mergeCell ref="B16:D16"/>
    <mergeCell ref="B31:D31"/>
    <mergeCell ref="A12:D12"/>
    <mergeCell ref="B22:D22"/>
    <mergeCell ref="A3:D3"/>
    <mergeCell ref="B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2026-07-20T20:05:54Z</dcterms:created>
  <dcterms:modified xsi:type="dcterms:W3CDTF">2026-08-31T21:12:15Z</dcterms:modified>
</cp:coreProperties>
</file>